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nthèse" sheetId="1" r:id="rId5"/>
    <sheet state="visible" name="Originaux" sheetId="2" r:id="rId6"/>
    <sheet state="visible" name="Adaptatif" sheetId="3" r:id="rId7"/>
    <sheet state="visible" name="Serie" sheetId="4" r:id="rId8"/>
    <sheet state="visible" name="Film" sheetId="5" r:id="rId9"/>
  </sheets>
  <definedNames>
    <definedName hidden="1" localSheetId="0" name="_xlnm._FilterDatabase">'Synthèse'!$C$2:$H$104</definedName>
  </definedNames>
  <calcPr/>
</workbook>
</file>

<file path=xl/sharedStrings.xml><?xml version="1.0" encoding="utf-8"?>
<sst xmlns="http://schemas.openxmlformats.org/spreadsheetml/2006/main" count="1670" uniqueCount="792">
  <si>
    <t>Original</t>
  </si>
  <si>
    <t>Adaptatif</t>
  </si>
  <si>
    <t>Serie</t>
  </si>
  <si>
    <t>Film</t>
  </si>
  <si>
    <t>Size</t>
  </si>
  <si>
    <t>Queue</t>
  </si>
  <si>
    <t>Title</t>
  </si>
  <si>
    <t>VMAF</t>
  </si>
  <si>
    <t>Score</t>
  </si>
  <si>
    <t>Processing</t>
  </si>
  <si>
    <t>1/102</t>
  </si>
  <si>
    <t>Halo Infinite 2026-02-12 17-53-53_av1_1080</t>
  </si>
  <si>
    <t>93.72</t>
  </si>
  <si>
    <t>Excellent</t>
  </si>
  <si>
    <t>[1/102]</t>
  </si>
  <si>
    <t>89.15</t>
  </si>
  <si>
    <t>Très bon</t>
  </si>
  <si>
    <t>91.32</t>
  </si>
  <si>
    <t>3/102</t>
  </si>
  <si>
    <t>Halo Infinite 2026-02-09 18-16-31_av1_1080</t>
  </si>
  <si>
    <t>96.17</t>
  </si>
  <si>
    <t>[2/102]</t>
  </si>
  <si>
    <t>Halo Infinite 2026-02-09 21-58-56_av1_1080</t>
  </si>
  <si>
    <t>89.71</t>
  </si>
  <si>
    <t>2/102</t>
  </si>
  <si>
    <t>91.99</t>
  </si>
  <si>
    <t>94.51</t>
  </si>
  <si>
    <t>[3/102]</t>
  </si>
  <si>
    <t>92.09</t>
  </si>
  <si>
    <t>93.80</t>
  </si>
  <si>
    <t>4/102</t>
  </si>
  <si>
    <t>Halo Infinite 2026-02-18 15-21-13_av1_1080</t>
  </si>
  <si>
    <t>82.02</t>
  </si>
  <si>
    <t>[4/102]</t>
  </si>
  <si>
    <t>79.41</t>
  </si>
  <si>
    <t>Bon</t>
  </si>
  <si>
    <t>80.78</t>
  </si>
  <si>
    <t>5/102</t>
  </si>
  <si>
    <t>Halo Infinite 2026-02-09 18-24-17_av1_1080</t>
  </si>
  <si>
    <t>82.00</t>
  </si>
  <si>
    <t>[5/102]</t>
  </si>
  <si>
    <t>80.83</t>
  </si>
  <si>
    <t>81.46</t>
  </si>
  <si>
    <t>6/102</t>
  </si>
  <si>
    <t>Halo Infinite 2026-02-03 17-35-51_av1_1080</t>
  </si>
  <si>
    <t>72.57</t>
  </si>
  <si>
    <t>[6/102]</t>
  </si>
  <si>
    <t>70.15</t>
  </si>
  <si>
    <t>71.21</t>
  </si>
  <si>
    <t>7/102</t>
  </si>
  <si>
    <t>Halo Infinite 2026-01-26 19-54-49_av1_1080</t>
  </si>
  <si>
    <t>95.07</t>
  </si>
  <si>
    <t>[7/102]</t>
  </si>
  <si>
    <t>90.66</t>
  </si>
  <si>
    <t>93.01</t>
  </si>
  <si>
    <t>8/102</t>
  </si>
  <si>
    <t>Halo Infinite 2026-02-15 20-20-54_av1_1080</t>
  </si>
  <si>
    <t>95.12</t>
  </si>
  <si>
    <t>[8/102]</t>
  </si>
  <si>
    <t>91.39</t>
  </si>
  <si>
    <t>92.25</t>
  </si>
  <si>
    <t>9/102</t>
  </si>
  <si>
    <t>Halo Infinite 2026-02-12 17-20-08_av1_1080</t>
  </si>
  <si>
    <t>95.63</t>
  </si>
  <si>
    <t>[9/102]</t>
  </si>
  <si>
    <t>91.47</t>
  </si>
  <si>
    <t>93.23</t>
  </si>
  <si>
    <t>10/102</t>
  </si>
  <si>
    <t>Halo Infinite 2026-02-12 18-01-21_av1_1080</t>
  </si>
  <si>
    <t>90.65</t>
  </si>
  <si>
    <t>[10/102]</t>
  </si>
  <si>
    <t>84.09</t>
  </si>
  <si>
    <t>86.06</t>
  </si>
  <si>
    <t>11/102</t>
  </si>
  <si>
    <t>Halo Infinite 2026-01-27 19-28-24_av1_1080</t>
  </si>
  <si>
    <t>72.99</t>
  </si>
  <si>
    <t>[11/102]</t>
  </si>
  <si>
    <t>72.16</t>
  </si>
  <si>
    <t>72.40</t>
  </si>
  <si>
    <t>12/102</t>
  </si>
  <si>
    <t>Halo Infinite 2026-02-18 15-42-17_av1_1080</t>
  </si>
  <si>
    <t>67.04</t>
  </si>
  <si>
    <t>Dégradé</t>
  </si>
  <si>
    <t>[12/102]</t>
  </si>
  <si>
    <t>65.90</t>
  </si>
  <si>
    <t>66.42</t>
  </si>
  <si>
    <t>13/102</t>
  </si>
  <si>
    <t>Halo Infinite 2026-01-26 19-49-13_av1_1080</t>
  </si>
  <si>
    <t>84.36</t>
  </si>
  <si>
    <t>[13/102]</t>
  </si>
  <si>
    <t>81.73</t>
  </si>
  <si>
    <t>82.36</t>
  </si>
  <si>
    <t>14/102</t>
  </si>
  <si>
    <t>Halo Infinite 2026-02-18 17-44-25_av1_1080</t>
  </si>
  <si>
    <t>84.87</t>
  </si>
  <si>
    <t>[14/102]</t>
  </si>
  <si>
    <t>82.84</t>
  </si>
  <si>
    <t>83.21</t>
  </si>
  <si>
    <t>15/102</t>
  </si>
  <si>
    <t>Halo Infinite 2026-01-27 23-29-26_av1_1080</t>
  </si>
  <si>
    <t>91.76</t>
  </si>
  <si>
    <t>[15/102]</t>
  </si>
  <si>
    <t>88.34</t>
  </si>
  <si>
    <t>89.50</t>
  </si>
  <si>
    <t>16/102</t>
  </si>
  <si>
    <t>Halo Infinite 2026-02-09 22-40-56_av1_1080</t>
  </si>
  <si>
    <t>82.33</t>
  </si>
  <si>
    <t>[16/102]</t>
  </si>
  <si>
    <t>81.29</t>
  </si>
  <si>
    <t>81.92</t>
  </si>
  <si>
    <t>17/102</t>
  </si>
  <si>
    <t>Halo Infinite 2026-02-05 23-01-14_av1_1080</t>
  </si>
  <si>
    <t>93.07</t>
  </si>
  <si>
    <t>[17/102]</t>
  </si>
  <si>
    <t>89.75</t>
  </si>
  <si>
    <t>91.17</t>
  </si>
  <si>
    <t>18/102</t>
  </si>
  <si>
    <t>Halo Infinite 2026-01-28 18-48-41_av1_1080</t>
  </si>
  <si>
    <t>96.00</t>
  </si>
  <si>
    <t>[18/102]</t>
  </si>
  <si>
    <t>91.58</t>
  </si>
  <si>
    <t>92.65</t>
  </si>
  <si>
    <t>19/102</t>
  </si>
  <si>
    <t>Halo Infinite 2026-02-05 22-25-15_av1_1080</t>
  </si>
  <si>
    <t>80.48</t>
  </si>
  <si>
    <t>[19/102]</t>
  </si>
  <si>
    <t>78.99</t>
  </si>
  <si>
    <t>79.49</t>
  </si>
  <si>
    <t>20/102</t>
  </si>
  <si>
    <t>Halo Infinite 2026-02-11 16-42-16_av1_1080</t>
  </si>
  <si>
    <t>65.89</t>
  </si>
  <si>
    <t>[20/102]</t>
  </si>
  <si>
    <t>64.86</t>
  </si>
  <si>
    <t>65.15</t>
  </si>
  <si>
    <t>21/102</t>
  </si>
  <si>
    <t>Halo Infinite 2026-02-12 17-19-09_av1_1080</t>
  </si>
  <si>
    <t>73.36</t>
  </si>
  <si>
    <t>[21/102]</t>
  </si>
  <si>
    <t>72.81</t>
  </si>
  <si>
    <t>72.96</t>
  </si>
  <si>
    <t>22/102</t>
  </si>
  <si>
    <t>Halo Infinite 2026-02-10 20-59-46_av1_1080</t>
  </si>
  <si>
    <t>69.88</t>
  </si>
  <si>
    <t>[22/102]</t>
  </si>
  <si>
    <t>68.86</t>
  </si>
  <si>
    <t>69.21</t>
  </si>
  <si>
    <t>23/102</t>
  </si>
  <si>
    <t>Halo Infinite 2026-02-09 18-11-13_av1_1080</t>
  </si>
  <si>
    <t>67.51</t>
  </si>
  <si>
    <t>[23/102]</t>
  </si>
  <si>
    <t>66.66</t>
  </si>
  <si>
    <t>66.92</t>
  </si>
  <si>
    <t>24/102</t>
  </si>
  <si>
    <t>Halo Infinite 2026-02-09 21-54-07_av1_1080</t>
  </si>
  <si>
    <t>70.98</t>
  </si>
  <si>
    <t>[24/102]</t>
  </si>
  <si>
    <t>69.76</t>
  </si>
  <si>
    <t>70.33</t>
  </si>
  <si>
    <t>25/102</t>
  </si>
  <si>
    <t>Halo Infinite 2026-02-08 20-38-26_av1_1080</t>
  </si>
  <si>
    <t>94.47</t>
  </si>
  <si>
    <t>[25/102]</t>
  </si>
  <si>
    <t>91.12</t>
  </si>
  <si>
    <t>26/102</t>
  </si>
  <si>
    <t>Halo Infinite 2026-02-18 17-37-18_av1_1080</t>
  </si>
  <si>
    <t>90.49</t>
  </si>
  <si>
    <t>[26/102]</t>
  </si>
  <si>
    <t>90.29</t>
  </si>
  <si>
    <t>90.35</t>
  </si>
  <si>
    <t>27/102</t>
  </si>
  <si>
    <t>Halo Infinite 2026-02-11 18-02-17_av1_1080</t>
  </si>
  <si>
    <t>77.18</t>
  </si>
  <si>
    <t>[27/102]</t>
  </si>
  <si>
    <t>76.48</t>
  </si>
  <si>
    <t>76.72</t>
  </si>
  <si>
    <t>28/102</t>
  </si>
  <si>
    <t>Halo Infinite 2026-02-07 15-43-57_av1_1080</t>
  </si>
  <si>
    <t>70.28</t>
  </si>
  <si>
    <t>[28/102]</t>
  </si>
  <si>
    <t>69.70</t>
  </si>
  <si>
    <t>69.85</t>
  </si>
  <si>
    <t>29/102</t>
  </si>
  <si>
    <t>Halo Infinite 2026-02-18 15-18-12_av1_1080</t>
  </si>
  <si>
    <t>65.51</t>
  </si>
  <si>
    <t>[29/102]</t>
  </si>
  <si>
    <t>64.49</t>
  </si>
  <si>
    <t>64.88</t>
  </si>
  <si>
    <t>30/102</t>
  </si>
  <si>
    <t>Halo Infinite 2026-02-05 22-23-31_av1_1080</t>
  </si>
  <si>
    <t>78.44</t>
  </si>
  <si>
    <t>[30/102]</t>
  </si>
  <si>
    <t>77.35</t>
  </si>
  <si>
    <t>77.94</t>
  </si>
  <si>
    <t>31/102</t>
  </si>
  <si>
    <t>Halo Infinite 2026-02-19 18-31-11_av1_1080</t>
  </si>
  <si>
    <t>68.70</t>
  </si>
  <si>
    <t>[31/102]</t>
  </si>
  <si>
    <t>66.86</t>
  </si>
  <si>
    <t>67.65</t>
  </si>
  <si>
    <t>32/102</t>
  </si>
  <si>
    <t>Halo Infinite 2026-02-18 22-35-32_av1_1080</t>
  </si>
  <si>
    <t>75.73</t>
  </si>
  <si>
    <t>[32/102]</t>
  </si>
  <si>
    <t>75.04</t>
  </si>
  <si>
    <t>75.31</t>
  </si>
  <si>
    <t>33/102</t>
  </si>
  <si>
    <t>Halo Infinite 2026-02-16 21-54-22_av1_1080</t>
  </si>
  <si>
    <t>68.74</t>
  </si>
  <si>
    <t>[33/102]</t>
  </si>
  <si>
    <t>67.66</t>
  </si>
  <si>
    <t>67.90</t>
  </si>
  <si>
    <t>34/102</t>
  </si>
  <si>
    <t>Halo Infinite 2026-02-17 21-41-03_av1_1080</t>
  </si>
  <si>
    <t>73.33</t>
  </si>
  <si>
    <t>[34/102]</t>
  </si>
  <si>
    <t>71.82</t>
  </si>
  <si>
    <t>35/102</t>
  </si>
  <si>
    <t>Halo Infinite 2026-04-19 17-43-35_av1_1080</t>
  </si>
  <si>
    <t>81.87</t>
  </si>
  <si>
    <t>[35/102]</t>
  </si>
  <si>
    <t>81.50</t>
  </si>
  <si>
    <t>81.56</t>
  </si>
  <si>
    <t>36/102</t>
  </si>
  <si>
    <t>Halo Infinite 2026-04-19 17-22-23_av1_1080</t>
  </si>
  <si>
    <t>72.86</t>
  </si>
  <si>
    <t>[36/102]</t>
  </si>
  <si>
    <t>72.43</t>
  </si>
  <si>
    <t>72.47</t>
  </si>
  <si>
    <t>37/102</t>
  </si>
  <si>
    <t>Halo Infinite 2026-04-19 16-33-45_av1_1080</t>
  </si>
  <si>
    <t>76.05</t>
  </si>
  <si>
    <t>[37/102]</t>
  </si>
  <si>
    <t>75.68</t>
  </si>
  <si>
    <t>75.78</t>
  </si>
  <si>
    <t>38/102</t>
  </si>
  <si>
    <t>Halo Infinite 2026-04-19 17-34-46_av1_1080</t>
  </si>
  <si>
    <t>[38/102]</t>
  </si>
  <si>
    <t>72.84</t>
  </si>
  <si>
    <t>73.08</t>
  </si>
  <si>
    <t>39/102</t>
  </si>
  <si>
    <t>Halo Infinite 2026-04-19 16-39-19_av1_1080</t>
  </si>
  <si>
    <t>80.05</t>
  </si>
  <si>
    <t>[39/102]</t>
  </si>
  <si>
    <t>79.76</t>
  </si>
  <si>
    <t>79.82</t>
  </si>
  <si>
    <t>40/102</t>
  </si>
  <si>
    <t>Halo Infinite 2026-02-19 18-31-25_av1_1080</t>
  </si>
  <si>
    <t>72.36</t>
  </si>
  <si>
    <t>[40/102]</t>
  </si>
  <si>
    <t>69.84</t>
  </si>
  <si>
    <t>71.00</t>
  </si>
  <si>
    <t>41/102</t>
  </si>
  <si>
    <t>Halo Infinite 2026-02-15 18-39-10_av1_1080</t>
  </si>
  <si>
    <t>83.48</t>
  </si>
  <si>
    <t>[41/102]</t>
  </si>
  <si>
    <t>78.01</t>
  </si>
  <si>
    <t>78.91</t>
  </si>
  <si>
    <t>42/102</t>
  </si>
  <si>
    <t>Halo Infinite 2026-02-03 17-33-11_av1_1080</t>
  </si>
  <si>
    <t>87.59</t>
  </si>
  <si>
    <t>[42/102]</t>
  </si>
  <si>
    <t>83.25</t>
  </si>
  <si>
    <t>84.44</t>
  </si>
  <si>
    <t>43/102</t>
  </si>
  <si>
    <t>Halo Infinite 2026-02-20 17-30-24_av1_1080</t>
  </si>
  <si>
    <t>81.39</t>
  </si>
  <si>
    <t>[43/102]</t>
  </si>
  <si>
    <t>79.07</t>
  </si>
  <si>
    <t>79.70</t>
  </si>
  <si>
    <t>44/102</t>
  </si>
  <si>
    <t>Halo Infinite 2026-02-01 18-55-41_av1_1080</t>
  </si>
  <si>
    <t>88.81</t>
  </si>
  <si>
    <t>[44/102]</t>
  </si>
  <si>
    <t>83.98</t>
  </si>
  <si>
    <t>85.25</t>
  </si>
  <si>
    <t>45/102</t>
  </si>
  <si>
    <t>Halo Infinite 2026-02-03 17-33-08_av1_1080</t>
  </si>
  <si>
    <t>88.27</t>
  </si>
  <si>
    <t>[45/102]</t>
  </si>
  <si>
    <t>84.94</t>
  </si>
  <si>
    <t>46/102</t>
  </si>
  <si>
    <t>Halo Infinite 2026-02-01 16-47-41_av1_1080</t>
  </si>
  <si>
    <t>91.53</t>
  </si>
  <si>
    <t>[46/102]</t>
  </si>
  <si>
    <t>88.44</t>
  </si>
  <si>
    <t>89.48</t>
  </si>
  <si>
    <t>47/102</t>
  </si>
  <si>
    <t>Halo Infinite 2026-01-17 16-56-43_av1_1080</t>
  </si>
  <si>
    <t>74.80</t>
  </si>
  <si>
    <t>[47/102]</t>
  </si>
  <si>
    <t>74.33</t>
  </si>
  <si>
    <t>74.47</t>
  </si>
  <si>
    <t>48/102</t>
  </si>
  <si>
    <t>Halo Infinite 2026-01-04 16-20-30_av1_1080</t>
  </si>
  <si>
    <t>88.90</t>
  </si>
  <si>
    <t>[48/102]</t>
  </si>
  <si>
    <t>83.16</t>
  </si>
  <si>
    <t>84.16</t>
  </si>
  <si>
    <t>49/102</t>
  </si>
  <si>
    <t>Halo Infinite 2026-01-20 22-04-31_av1_1080</t>
  </si>
  <si>
    <t>93.63</t>
  </si>
  <si>
    <t>[49/102]</t>
  </si>
  <si>
    <t>90.27</t>
  </si>
  <si>
    <t>91.52</t>
  </si>
  <si>
    <t>50/102</t>
  </si>
  <si>
    <t>Halo Infinite 2026-01-21 20-16-42_av1_1080</t>
  </si>
  <si>
    <t>75.49</t>
  </si>
  <si>
    <t>[50/102]</t>
  </si>
  <si>
    <t>75.10</t>
  </si>
  <si>
    <t>75.22</t>
  </si>
  <si>
    <t>51/102</t>
  </si>
  <si>
    <t>Halo Infinite 2025-12-29 23-57-47_av1_1080</t>
  </si>
  <si>
    <t>92.34</t>
  </si>
  <si>
    <t>[51/102]</t>
  </si>
  <si>
    <t>88.84</t>
  </si>
  <si>
    <t>89.82</t>
  </si>
  <si>
    <t>52/102</t>
  </si>
  <si>
    <t>Halo Infinite 2026-01-28 18-27-29_av1_1080</t>
  </si>
  <si>
    <t>92.75</t>
  </si>
  <si>
    <t>[52/102]</t>
  </si>
  <si>
    <t>87.92</t>
  </si>
  <si>
    <t>89.72</t>
  </si>
  <si>
    <t>53/102</t>
  </si>
  <si>
    <t>Halo Infinite 2026-01-19 19-58-09_av1_1080</t>
  </si>
  <si>
    <t>89.77</t>
  </si>
  <si>
    <t>[53/102]</t>
  </si>
  <si>
    <t>82.97</t>
  </si>
  <si>
    <t>84.85</t>
  </si>
  <si>
    <t>54/102</t>
  </si>
  <si>
    <t>Halo Infinite 2025-12-29 22-31-43_av1_1080</t>
  </si>
  <si>
    <t>88.66</t>
  </si>
  <si>
    <t>[54/102]</t>
  </si>
  <si>
    <t>83.40</t>
  </si>
  <si>
    <t>83.97</t>
  </si>
  <si>
    <t>55/102</t>
  </si>
  <si>
    <t>Halo Infinite 2026-01-22 22-24-20_av1_1080</t>
  </si>
  <si>
    <t>92.41</t>
  </si>
  <si>
    <t>[55/102]</t>
  </si>
  <si>
    <t>84.26</t>
  </si>
  <si>
    <t>86.96</t>
  </si>
  <si>
    <t>56/102</t>
  </si>
  <si>
    <t>Halo Infinite 2025-12-29 22-34-31_av1_1080</t>
  </si>
  <si>
    <t>89.69</t>
  </si>
  <si>
    <t>[56/102]</t>
  </si>
  <si>
    <t>84.65</t>
  </si>
  <si>
    <t>86.60</t>
  </si>
  <si>
    <t>57/102</t>
  </si>
  <si>
    <t>Halo Infinite 2026-01-24 20-20-26_av1_1080</t>
  </si>
  <si>
    <t>95.31</t>
  </si>
  <si>
    <t>[57/102]</t>
  </si>
  <si>
    <t>90.52</t>
  </si>
  <si>
    <t>91.79</t>
  </si>
  <si>
    <t>58/102</t>
  </si>
  <si>
    <t>Halo Infinite 2026-01-19 19-57-59_av1_1080</t>
  </si>
  <si>
    <t>81.47</t>
  </si>
  <si>
    <t>[58/102]</t>
  </si>
  <si>
    <t>78.12</t>
  </si>
  <si>
    <t>79.43</t>
  </si>
  <si>
    <t>59/102</t>
  </si>
  <si>
    <t>Halo Infinite 2025-12-29 23-11-10_av1_1080</t>
  </si>
  <si>
    <t>93.77</t>
  </si>
  <si>
    <t>[59/102]</t>
  </si>
  <si>
    <t>88.31</t>
  </si>
  <si>
    <t>89.86</t>
  </si>
  <si>
    <t>60/102</t>
  </si>
  <si>
    <t>Halo Infinite 2026-01-27 19-22-13_av1_1080</t>
  </si>
  <si>
    <t>94.99</t>
  </si>
  <si>
    <t>[60/102]</t>
  </si>
  <si>
    <t>90.60</t>
  </si>
  <si>
    <t>91.49</t>
  </si>
  <si>
    <t>61/102</t>
  </si>
  <si>
    <t>Halo Infinite 2026-01-16 20-06-36_av1_1080</t>
  </si>
  <si>
    <t>96.80</t>
  </si>
  <si>
    <t>[61/102]</t>
  </si>
  <si>
    <t>94.21</t>
  </si>
  <si>
    <t>94.82</t>
  </si>
  <si>
    <t>62/102</t>
  </si>
  <si>
    <t>Halo Infinite 2026-01-21 21-30-40_av1_1080</t>
  </si>
  <si>
    <t>90.91</t>
  </si>
  <si>
    <t>[62/102]</t>
  </si>
  <si>
    <t>85.13</t>
  </si>
  <si>
    <t>86.57</t>
  </si>
  <si>
    <t>63/102</t>
  </si>
  <si>
    <t>Halo Infinite 2026-01-26 18-53-03_av1_1080</t>
  </si>
  <si>
    <t>84.52</t>
  </si>
  <si>
    <t>[63/102]</t>
  </si>
  <si>
    <t>81.98</t>
  </si>
  <si>
    <t>83.04</t>
  </si>
  <si>
    <t>64/102</t>
  </si>
  <si>
    <t>Halo Infinite 2026-01-25 17-17-54_av1_1080</t>
  </si>
  <si>
    <t>95.43</t>
  </si>
  <si>
    <t>[64/102]</t>
  </si>
  <si>
    <t>91.82</t>
  </si>
  <si>
    <t>65/102</t>
  </si>
  <si>
    <t>Halo Infinite 2026-01-17 16-36-31_av1_1080</t>
  </si>
  <si>
    <t>94.46</t>
  </si>
  <si>
    <t>[65/102]</t>
  </si>
  <si>
    <t>88.05</t>
  </si>
  <si>
    <t>90.16</t>
  </si>
  <si>
    <t>66/102</t>
  </si>
  <si>
    <t>Halo Infinite 2026-01-24 19-50-25_av1_1080</t>
  </si>
  <si>
    <t>93.28</t>
  </si>
  <si>
    <t>[66/102]</t>
  </si>
  <si>
    <t>88.47</t>
  </si>
  <si>
    <t>90.15</t>
  </si>
  <si>
    <t>67/102</t>
  </si>
  <si>
    <t>Halo Infinite 2026-01-02 20-21-56_av1_1080</t>
  </si>
  <si>
    <t>89.81</t>
  </si>
  <si>
    <t>[67/102]</t>
  </si>
  <si>
    <t>85.51</t>
  </si>
  <si>
    <t>86.33</t>
  </si>
  <si>
    <t>68/102</t>
  </si>
  <si>
    <t>Halo Infinite 2025-12-18 22-43-11_av1_1080</t>
  </si>
  <si>
    <t>94.01</t>
  </si>
  <si>
    <t>[68/102]</t>
  </si>
  <si>
    <t>91.11</t>
  </si>
  <si>
    <t>92.80</t>
  </si>
  <si>
    <t>69/102</t>
  </si>
  <si>
    <t>Halo Infinite 2025-12-18 17-40-46_av1_1080</t>
  </si>
  <si>
    <t>76.75</t>
  </si>
  <si>
    <t>[69/102]</t>
  </si>
  <si>
    <t>75.80</t>
  </si>
  <si>
    <t>76.12</t>
  </si>
  <si>
    <t>70/102</t>
  </si>
  <si>
    <t>Halo Infinite 2025-12-29 23-18-19_av1_1080</t>
  </si>
  <si>
    <t>88.65</t>
  </si>
  <si>
    <t>[70/102]</t>
  </si>
  <si>
    <t>86.14</t>
  </si>
  <si>
    <t>86.68</t>
  </si>
  <si>
    <t>71/102</t>
  </si>
  <si>
    <t>Halo Infinite 2025-12-18 21-44-52_av1_1080</t>
  </si>
  <si>
    <t>[71/102]</t>
  </si>
  <si>
    <t>68.64</t>
  </si>
  <si>
    <t>68.97</t>
  </si>
  <si>
    <t>72/102</t>
  </si>
  <si>
    <t>Halo Infinite 2025-12-18 21-48-59_av1_1080</t>
  </si>
  <si>
    <t>77.34</t>
  </si>
  <si>
    <t>[72/102]</t>
  </si>
  <si>
    <t>76.92</t>
  </si>
  <si>
    <t>76.93</t>
  </si>
  <si>
    <t>73/102</t>
  </si>
  <si>
    <t>Halo Infinite 2026-01-12 22-10-33_av1_1080</t>
  </si>
  <si>
    <t>80.98</t>
  </si>
  <si>
    <t>[73/102]</t>
  </si>
  <si>
    <t>79.68</t>
  </si>
  <si>
    <t>80.10</t>
  </si>
  <si>
    <t>74/102</t>
  </si>
  <si>
    <t>Halo Infinite 2025-12-21 17-02-11_av1_1080</t>
  </si>
  <si>
    <t>81.24</t>
  </si>
  <si>
    <t>[74/102]</t>
  </si>
  <si>
    <t>79.02</t>
  </si>
  <si>
    <t>75/102</t>
  </si>
  <si>
    <t>Halo Infinite 2025-12-24 18-09-03_av1_1080</t>
  </si>
  <si>
    <t>88.85</t>
  </si>
  <si>
    <t>[75/102]</t>
  </si>
  <si>
    <t>89.34</t>
  </si>
  <si>
    <t>76/102</t>
  </si>
  <si>
    <t>Halo Infinite 2026-03-31 21-57-22_av1_1080</t>
  </si>
  <si>
    <t>92.47</t>
  </si>
  <si>
    <t>[76/102]</t>
  </si>
  <si>
    <t>91.38</t>
  </si>
  <si>
    <t>91.69</t>
  </si>
  <si>
    <t>77/102</t>
  </si>
  <si>
    <t>Halo Infinite 2026-02-24 18-36-09_av1_1080</t>
  </si>
  <si>
    <t>96.58</t>
  </si>
  <si>
    <t>[77/102]</t>
  </si>
  <si>
    <t>96.27</t>
  </si>
  <si>
    <t>96.93</t>
  </si>
  <si>
    <t>78/102</t>
  </si>
  <si>
    <t>Replay 2026-05-11 22-03-35_av1_1080p_OPUS.mkv</t>
  </si>
  <si>
    <t>95.17</t>
  </si>
  <si>
    <t>[78/102]</t>
  </si>
  <si>
    <t>91.77</t>
  </si>
  <si>
    <t>93.73</t>
  </si>
  <si>
    <t>79/102</t>
  </si>
  <si>
    <t>Replay 2026-05-11 21-51-17_av1_1080p_OPUS.mkv</t>
  </si>
  <si>
    <t>[79/102]</t>
  </si>
  <si>
    <t>95.05</t>
  </si>
  <si>
    <t>95.82</t>
  </si>
  <si>
    <t>80/102</t>
  </si>
  <si>
    <t>Replay 2026-05-11 22-55-29_av1_1080p_OPUS.mkv</t>
  </si>
  <si>
    <t>93.78</t>
  </si>
  <si>
    <t>[80/102]</t>
  </si>
  <si>
    <t>89.78</t>
  </si>
  <si>
    <t>91.92</t>
  </si>
  <si>
    <t>81/102</t>
  </si>
  <si>
    <t>Replay 2026-04-13 21-08-35_av1_1080p_OPUS.mkv</t>
  </si>
  <si>
    <t>94.32</t>
  </si>
  <si>
    <t>[81/102]</t>
  </si>
  <si>
    <t>92.73</t>
  </si>
  <si>
    <t>93.93</t>
  </si>
  <si>
    <t>82/102</t>
  </si>
  <si>
    <t>Replay 2026-04-17 22-38-25_av1_1080p_OPUS.mkv</t>
  </si>
  <si>
    <t>[82/102]</t>
  </si>
  <si>
    <t>91.62</t>
  </si>
  <si>
    <t>92.70</t>
  </si>
  <si>
    <t>83/102</t>
  </si>
  <si>
    <t>Replay 2026-05-11 23-00-05_av1_1080p_OPUS.mkv</t>
  </si>
  <si>
    <t>92.44</t>
  </si>
  <si>
    <t>[83/102]</t>
  </si>
  <si>
    <t>88.50</t>
  </si>
  <si>
    <t>91.66</t>
  </si>
  <si>
    <t>84/102</t>
  </si>
  <si>
    <t>Replay 2026-05-11 20-55-52_av1_1080p_OPUS.mkv</t>
  </si>
  <si>
    <t>93.24</t>
  </si>
  <si>
    <t>[84/102]</t>
  </si>
  <si>
    <t>93.16</t>
  </si>
  <si>
    <t>85/102</t>
  </si>
  <si>
    <t>Replay 2026-03-27 23-17-43_av1_1080p_OPUS.mkv</t>
  </si>
  <si>
    <t>91.72</t>
  </si>
  <si>
    <t>[85/102]</t>
  </si>
  <si>
    <t>87.21</t>
  </si>
  <si>
    <t>88.86</t>
  </si>
  <si>
    <t>86/102</t>
  </si>
  <si>
    <t>Replay 2026-03-24 22-46-39_av1_1080p_OPUS.mkv</t>
  </si>
  <si>
    <t>94.76</t>
  </si>
  <si>
    <t>[86/102]</t>
  </si>
  <si>
    <t>93.19</t>
  </si>
  <si>
    <t>94.33</t>
  </si>
  <si>
    <t>87/102</t>
  </si>
  <si>
    <t>Replay 2026-05-11 21-00-14_av1_1080p_OPUS.mkv</t>
  </si>
  <si>
    <t>95.37</t>
  </si>
  <si>
    <t>[87/102]</t>
  </si>
  <si>
    <t>92.88</t>
  </si>
  <si>
    <t>93.76</t>
  </si>
  <si>
    <t>88/102</t>
  </si>
  <si>
    <t>Replay 2026-04-13 23-03-49_av1_1080p_OPUS.mkv</t>
  </si>
  <si>
    <t>94.75</t>
  </si>
  <si>
    <t>[88/102]</t>
  </si>
  <si>
    <t>91.68</t>
  </si>
  <si>
    <t>92.56</t>
  </si>
  <si>
    <t>89/102</t>
  </si>
  <si>
    <t>Replay 2026-04-06 23-02-18_av1_1080p_OPUS.mkv</t>
  </si>
  <si>
    <t>97.85</t>
  </si>
  <si>
    <t>[89/102]</t>
  </si>
  <si>
    <t>97.24</t>
  </si>
  <si>
    <t>90/102</t>
  </si>
  <si>
    <t>Replay 2026-04-19 17-10-54_av1_1080p_OPUS.mkv</t>
  </si>
  <si>
    <t>94.97</t>
  </si>
  <si>
    <t>[90/102]</t>
  </si>
  <si>
    <t>93.37</t>
  </si>
  <si>
    <t>91/102</t>
  </si>
  <si>
    <t>Replay 2026-04-11 22-17-51_av1_1080p_OPUS.mkv</t>
  </si>
  <si>
    <t>94.73</t>
  </si>
  <si>
    <t>[91/102]</t>
  </si>
  <si>
    <t>91.86</t>
  </si>
  <si>
    <t>93.29</t>
  </si>
  <si>
    <t>92/102</t>
  </si>
  <si>
    <t>Replay 2026-05-11 21-46-39_av1_1080p_OPUS.mkv</t>
  </si>
  <si>
    <t>93.75</t>
  </si>
  <si>
    <t>[92/102]</t>
  </si>
  <si>
    <t>92.72</t>
  </si>
  <si>
    <t>93.62</t>
  </si>
  <si>
    <t>93/102</t>
  </si>
  <si>
    <t>Replay 2026-05-11 20-43-16_av1_1080p_OPUS.mkv</t>
  </si>
  <si>
    <t>[93/102]</t>
  </si>
  <si>
    <t>89.59</t>
  </si>
  <si>
    <t>94/102</t>
  </si>
  <si>
    <t>Replay 2026-05-11 21-54-18_av1_1080p_OPUS.mkv</t>
  </si>
  <si>
    <t>95.21</t>
  </si>
  <si>
    <t>[94/102]</t>
  </si>
  <si>
    <t>93.50</t>
  </si>
  <si>
    <t>94.66</t>
  </si>
  <si>
    <t>95/102</t>
  </si>
  <si>
    <t>Replay 2026-04-17 22-25-32_av1_1080p_OPUS.mkv</t>
  </si>
  <si>
    <t>93.56</t>
  </si>
  <si>
    <t>[95/102]</t>
  </si>
  <si>
    <t>91.15</t>
  </si>
  <si>
    <t>96/102</t>
  </si>
  <si>
    <t>Replay 2026-04-19 16-02-51_av1_1080p_OPUS.mkv</t>
  </si>
  <si>
    <t>92.99</t>
  </si>
  <si>
    <t>[96/102]</t>
  </si>
  <si>
    <t>90.22</t>
  </si>
  <si>
    <t>92.71</t>
  </si>
  <si>
    <t>97/102</t>
  </si>
  <si>
    <t>Replay 2026-04-06 22-51-39_av1_1080p_OPUS.mkv</t>
  </si>
  <si>
    <t>95.55</t>
  </si>
  <si>
    <t>[97/102]</t>
  </si>
  <si>
    <t>94.04</t>
  </si>
  <si>
    <t>94.89</t>
  </si>
  <si>
    <t>98/102</t>
  </si>
  <si>
    <t>Replay 2026-05-11 22-51-38_av1_1080p_OPUS.mkv</t>
  </si>
  <si>
    <t>95.76</t>
  </si>
  <si>
    <t>[98/102]</t>
  </si>
  <si>
    <t>94.95</t>
  </si>
  <si>
    <t>99/102</t>
  </si>
  <si>
    <t>Replay 2026-04-13 23-00-54_av1_1080p_OPUS.mkv</t>
  </si>
  <si>
    <t>94.40</t>
  </si>
  <si>
    <t>[99/102]</t>
  </si>
  <si>
    <t>92.59</t>
  </si>
  <si>
    <t>94.06</t>
  </si>
  <si>
    <t>100/102</t>
  </si>
  <si>
    <t>Replay 2026-04-06 22-53-10_av1_1080p_OPUS.mkv</t>
  </si>
  <si>
    <t>94.28</t>
  </si>
  <si>
    <t>[100/102]</t>
  </si>
  <si>
    <t>92.81</t>
  </si>
  <si>
    <t>101/102</t>
  </si>
  <si>
    <t>Replay 2026-04-13 21-26-19_av1_1080p_OPUS.mkv</t>
  </si>
  <si>
    <t>95.66</t>
  </si>
  <si>
    <t>[101/102]</t>
  </si>
  <si>
    <t>102/102</t>
  </si>
  <si>
    <t>Replay 2026-03-12 23-04-37_av1_1080p_OPUS.mkv</t>
  </si>
  <si>
    <t>91.96</t>
  </si>
  <si>
    <t>[102/102]</t>
  </si>
  <si>
    <t>93.46</t>
  </si>
  <si>
    <t>94.68</t>
  </si>
  <si>
    <t>#</t>
  </si>
  <si>
    <t>Chemin</t>
  </si>
  <si>
    <t>Taille (MB)</t>
  </si>
  <si>
    <t>Date modif</t>
  </si>
  <si>
    <t>Halo Infinite 2026-02-12 17-53-53.mp4</t>
  </si>
  <si>
    <t>Halo Infinite 2026-02-09 21-58-56.mp4</t>
  </si>
  <si>
    <t>Halo Infinite 2026-02-09 18-16-31.mp4</t>
  </si>
  <si>
    <t>Halo Infinite 2026-02-18 15-21-13.mp4</t>
  </si>
  <si>
    <t>Halo Infinite 2026-02-09 18-24-17.mp4</t>
  </si>
  <si>
    <t>Halo Infinite 2026-02-03 17-35-51.mp4</t>
  </si>
  <si>
    <t>Halo Infinite 2026-01-26 19-54-49.mp4</t>
  </si>
  <si>
    <t>Halo Infinite 2026-02-15 20-20-54.mp4</t>
  </si>
  <si>
    <t>Halo Infinite 2026-02-12 17-20-08.mp4</t>
  </si>
  <si>
    <t>Halo Infinite 2026-02-12 18-01-21.mp4</t>
  </si>
  <si>
    <t>Halo Infinite 2026-01-27 19-28-24.mp4</t>
  </si>
  <si>
    <t>Halo Infinite 2026-02-18 15-42-17.mp4</t>
  </si>
  <si>
    <t>Halo Infinite 2026-01-26 19-49-13.mp4</t>
  </si>
  <si>
    <t>Halo Infinite 2026-02-18 17-44-25.mp4</t>
  </si>
  <si>
    <t>Halo Infinite 2026-01-27 23-29-26.mp4</t>
  </si>
  <si>
    <t>Halo Infinite 2026-02-09 22-40-56.mp4</t>
  </si>
  <si>
    <t>Halo Infinite 2026-02-05 23-01-14.mp4</t>
  </si>
  <si>
    <t>Halo Infinite 2026-01-28 18-48-41.mp4</t>
  </si>
  <si>
    <t>Halo Infinite 2026-02-05 22-25-15.mp4</t>
  </si>
  <si>
    <t>Halo Infinite 2026-02-11 16-42-16.mp4</t>
  </si>
  <si>
    <t>Halo Infinite 2026-02-12 17-19-09.mp4</t>
  </si>
  <si>
    <t>Halo Infinite 2026-02-10 20-59-46.mp4</t>
  </si>
  <si>
    <t>Halo Infinite 2026-02-09 18-11-13.mp4</t>
  </si>
  <si>
    <t>Halo Infinite 2026-02-09 21-54-07.mp4</t>
  </si>
  <si>
    <t>Halo Infinite 2026-02-08 20-38-26.mp4</t>
  </si>
  <si>
    <t>Halo Infinite 2026-02-18 17-37-18.mp4</t>
  </si>
  <si>
    <t>Halo Infinite 2026-02-11 18-02-17.mp4</t>
  </si>
  <si>
    <t>Halo Infinite 2026-02-07 15-43-57.mp4</t>
  </si>
  <si>
    <t>Halo Infinite 2026-02-18 15-18-12.mp4</t>
  </si>
  <si>
    <t>Halo Infinite 2026-02-05 22-23-31.mp4</t>
  </si>
  <si>
    <t>Halo Infinite 2026-02-19 18-31-11.mp4</t>
  </si>
  <si>
    <t>Halo Infinite 2026-02-18 22-35-32.mp4</t>
  </si>
  <si>
    <t>Halo Infinite 2026-02-16 21-54-22.mp4</t>
  </si>
  <si>
    <t>Halo Infinite 2026-02-17 21-41-03.mp4</t>
  </si>
  <si>
    <t>Halo Infinite 2026-04-19 17-43-35.mp4</t>
  </si>
  <si>
    <t>Halo Infinite 2026-04-19 17-22-23.mp4</t>
  </si>
  <si>
    <t>Halo Infinite 2026-04-19 16-33-45.mp4</t>
  </si>
  <si>
    <t>Halo Infinite 2026-04-19 17-34-46.mp4</t>
  </si>
  <si>
    <t>Halo Infinite 2026-04-19 16-39-19.mp4</t>
  </si>
  <si>
    <t>Halo Infinite 2026-02-19 18-31-25.mp4</t>
  </si>
  <si>
    <t>Halo Infinite 2026-02-15 18-39-10.mp4</t>
  </si>
  <si>
    <t>Halo Infinite 2026-02-03 17-33-11.mp4</t>
  </si>
  <si>
    <t>Halo Infinite 2026-02-20 17-30-24.mp4</t>
  </si>
  <si>
    <t>Halo Infinite 2026-02-01 18-55-41.mp4</t>
  </si>
  <si>
    <t>Halo Infinite 2026-02-03 17-33-08.mp4</t>
  </si>
  <si>
    <t>Halo Infinite 2026-02-01 16-47-41.mp4</t>
  </si>
  <si>
    <t>Halo Infinite 2026-01-17 16-56-43.mp4</t>
  </si>
  <si>
    <t>Halo Infinite 2026-01-04 16-20-30.mp4</t>
  </si>
  <si>
    <t>Halo Infinite 2026-01-20 22-04-31.mp4</t>
  </si>
  <si>
    <t>Halo Infinite 2026-01-21 20-16-42.mp4</t>
  </si>
  <si>
    <t>Halo Infinite 2025-12-29 23-57-47.mp4</t>
  </si>
  <si>
    <t>Halo Infinite 2026-01-28 18-27-29.mp4</t>
  </si>
  <si>
    <t>Halo Infinite 2026-01-19 19-58-09.mp4</t>
  </si>
  <si>
    <t>Halo Infinite 2025-12-29 22-31-43.mp4</t>
  </si>
  <si>
    <t>Halo Infinite 2026-01-22 22-24-20.mp4</t>
  </si>
  <si>
    <t>Halo Infinite 2025-12-29 22-34-31.mp4</t>
  </si>
  <si>
    <t>Halo Infinite 2026-01-24 20-20-26.mp4</t>
  </si>
  <si>
    <t>Halo Infinite 2026-01-19 19-57-59.mp4</t>
  </si>
  <si>
    <t>Halo Infinite 2025-12-29 23-11-10.mp4</t>
  </si>
  <si>
    <t>Halo Infinite 2026-01-27 19-22-13.mp4</t>
  </si>
  <si>
    <t>Halo Infinite 2026-01-16 20-06-36.mp4</t>
  </si>
  <si>
    <t>Halo Infinite 2026-01-21 21-30-40.mp4</t>
  </si>
  <si>
    <t>Halo Infinite 2026-01-26 18-53-03.mp4</t>
  </si>
  <si>
    <t>Halo Infinite 2026-01-25 17-17-54.mp4</t>
  </si>
  <si>
    <t>Halo Infinite 2026-01-17 16-36-31.mp4</t>
  </si>
  <si>
    <t>Halo Infinite 2026-01-24 19-50-25.mp4</t>
  </si>
  <si>
    <t>Halo Infinite 2026-01-02 20-21-56.mp4</t>
  </si>
  <si>
    <t>Halo Infinite 2025-12-18 22-43-11.mp4</t>
  </si>
  <si>
    <t>Halo Infinite 2025-12-18 17-40-46.mp4</t>
  </si>
  <si>
    <t>Halo Infinite 2025-12-29 23-18-19.mp4</t>
  </si>
  <si>
    <t>Halo Infinite 2025-12-18 21-44-52.mp4</t>
  </si>
  <si>
    <t>Halo Infinite 2025-12-18 21-48-59.mp4</t>
  </si>
  <si>
    <t>Halo Infinite 2026-01-12 22-10-33.mp4</t>
  </si>
  <si>
    <t>Halo Infinite 2025-12-21 17-02-11.mp4</t>
  </si>
  <si>
    <t>Halo Infinite 2025-12-24 18-09-03.mp4</t>
  </si>
  <si>
    <t>Halo Infinite 2026-03-31 21-57-22.mp4</t>
  </si>
  <si>
    <t>Halo Infinite 2026-02-24 18-36-09.mp4</t>
  </si>
  <si>
    <t>Replay 2026-05-11 22-03-35.mkv</t>
  </si>
  <si>
    <t>Replay 2026-05-11 21-51-17.mkv</t>
  </si>
  <si>
    <t>Replay 2026-05-11 22-55-29.mkv</t>
  </si>
  <si>
    <t>Replay 2026-04-13 21-08-35.mkv</t>
  </si>
  <si>
    <t>Replay 2026-04-17 22-38-25.mkv</t>
  </si>
  <si>
    <t>Replay 2026-05-11 23-00-05.mkv</t>
  </si>
  <si>
    <t>Replay 2026-05-11 20-55-52.mkv</t>
  </si>
  <si>
    <t>Replay 2026-03-27 23-17-43.mkv</t>
  </si>
  <si>
    <t>Replay 2026-03-24 22-46-39.mkv</t>
  </si>
  <si>
    <t>Replay 2026-05-11 21-00-14.mkv</t>
  </si>
  <si>
    <t>Replay 2026-04-13 23-03-49.mkv</t>
  </si>
  <si>
    <t>Replay 2026-04-06 23-02-18.mkv</t>
  </si>
  <si>
    <t>Replay 2026-04-19 17-10-54.mkv</t>
  </si>
  <si>
    <t>Replay 2026-04-11 22-17-51.mkv</t>
  </si>
  <si>
    <t>Replay 2026-05-11 21-46-39.mkv</t>
  </si>
  <si>
    <t>Replay 2026-05-11 20-43-16.mkv</t>
  </si>
  <si>
    <t>Replay 2026-05-11 21-54-18.mkv</t>
  </si>
  <si>
    <t>Replay 2026-04-17 22-25-32.mkv</t>
  </si>
  <si>
    <t>Replay 2026-04-19 16-02-51.mkv</t>
  </si>
  <si>
    <t>Replay 2026-04-06 22-51-39.mkv</t>
  </si>
  <si>
    <t>Replay 2026-05-11 22-51-38.mkv</t>
  </si>
  <si>
    <t>Replay 2026-04-13 23-00-54.mkv</t>
  </si>
  <si>
    <t>Replay 2026-05-12 14-16-38.mkv</t>
  </si>
  <si>
    <t>Replay 2026-05-12 14-19-58.mkv</t>
  </si>
  <si>
    <t>Replay 2026-04-06 22-53-10.mkv</t>
  </si>
  <si>
    <t>Replay 2026-04-13 21-26-19.mkv</t>
  </si>
  <si>
    <t>Replay 2026-03-12 23-04-37.mkv</t>
  </si>
  <si>
    <t>Halo Infinite 2025-12-18 17-40-46_av1_1080p_OPUS.mkv</t>
  </si>
  <si>
    <t>Halo Infinite 2025-12-18 21-44-52_av1_1080p_OPUS.mkv</t>
  </si>
  <si>
    <t>Halo Infinite 2025-12-18 21-48-59_av1_1080p_OPUS.mkv</t>
  </si>
  <si>
    <t>Halo Infinite 2025-12-18 22-43-11_av1_1080p_OPUS.mkv</t>
  </si>
  <si>
    <t>Halo Infinite 2025-12-21 17-02-11_av1_1080p_OPUS.mkv</t>
  </si>
  <si>
    <t>Halo Infinite 2025-12-24 18-09-03_av1_1080p_OPUS.mkv</t>
  </si>
  <si>
    <t>Halo Infinite 2025-12-29 22-31-43_av1_1080p_OPUS.mkv</t>
  </si>
  <si>
    <t>Halo Infinite 2025-12-29 22-34-31_av1_1080p_OPUS.mkv</t>
  </si>
  <si>
    <t>Halo Infinite 2025-12-29 23-11-10_av1_1080p_OPUS.mkv</t>
  </si>
  <si>
    <t>Halo Infinite 2025-12-29 23-18-19_av1_1080p_OPUS.mkv</t>
  </si>
  <si>
    <t>Halo Infinite 2025-12-29 23-57-47_av1_1080p_OPUS.mkv</t>
  </si>
  <si>
    <t>Halo Infinite 2026-01-02 20-21-56_av1_1080p_OPUS.mkv</t>
  </si>
  <si>
    <t>Halo Infinite 2026-01-04 16-20-30_av1_1080p_OPUS.mkv</t>
  </si>
  <si>
    <t>Halo Infinite 2026-01-12 22-10-33_av1_1080p_OPUS.mkv</t>
  </si>
  <si>
    <t>Halo Infinite 2026-01-16 20-06-36_av1_1080p_OPUS.mkv</t>
  </si>
  <si>
    <t>Halo Infinite 2026-01-17 16-36-31_av1_1080p_OPUS.mkv</t>
  </si>
  <si>
    <t>Halo Infinite 2026-01-17 16-56-43_av1_1080p_OPUS.mkv</t>
  </si>
  <si>
    <t>Halo Infinite 2026-01-19 19-57-59_av1_1080p_OPUS.mkv</t>
  </si>
  <si>
    <t>Halo Infinite 2026-01-19 19-58-09_av1_1080p_OPUS.mkv</t>
  </si>
  <si>
    <t>Halo Infinite 2026-01-20 22-04-31_av1_1080p_OPUS.mkv</t>
  </si>
  <si>
    <t>Halo Infinite 2026-01-21 20-16-42_av1_1080p_OPUS.mkv</t>
  </si>
  <si>
    <t>Halo Infinite 2026-01-21 21-30-40_av1_1080p_OPUS.mkv</t>
  </si>
  <si>
    <t>Halo Infinite 2026-01-22 22-24-20_av1_1080p_OPUS.mkv</t>
  </si>
  <si>
    <t>Halo Infinite 2026-01-24 19-50-25_av1_1080p_OPUS.mkv</t>
  </si>
  <si>
    <t>Halo Infinite 2026-01-24 20-20-26_av1_1080p_OPUS.mkv</t>
  </si>
  <si>
    <t>Halo Infinite 2026-01-25 17-17-54_av1_1080p_OPUS.mkv</t>
  </si>
  <si>
    <t>Halo Infinite 2026-01-26 18-53-03_av1_1080p_OPUS.mkv</t>
  </si>
  <si>
    <t>Halo Infinite 2026-01-26 19-49-13_av1_1080p_OPUS.mkv</t>
  </si>
  <si>
    <t>Halo Infinite 2026-01-26 19-54-49_av1_1080p_OPUS.mkv</t>
  </si>
  <si>
    <t>Halo Infinite 2026-01-27 19-22-13_av1_1080p_OPUS.mkv</t>
  </si>
  <si>
    <t>Halo Infinite 2026-01-27 19-28-24_av1_1080p_OPUS.mkv</t>
  </si>
  <si>
    <t>Halo Infinite 2026-01-27 23-29-26_av1_1080p_OPUS.mkv</t>
  </si>
  <si>
    <t>Halo Infinite 2026-01-28 18-27-29_av1_1080p_OPUS.mkv</t>
  </si>
  <si>
    <t>Halo Infinite 2026-01-28 18-48-41_av1_1080p_OPUS.mkv</t>
  </si>
  <si>
    <t>Halo Infinite 2026-02-01 16-47-41_av1_1080p_OPUS.mkv</t>
  </si>
  <si>
    <t>Halo Infinite 2026-02-01 18-55-41_av1_1080p_OPUS.mkv</t>
  </si>
  <si>
    <t>Halo Infinite 2026-02-03 17-33-08_av1_1080p_OPUS.mkv</t>
  </si>
  <si>
    <t>Halo Infinite 2026-02-03 17-33-11_av1_1080p_OPUS.mkv</t>
  </si>
  <si>
    <t>Halo Infinite 2026-02-03 17-35-51_av1_1080p_OPUS.mkv</t>
  </si>
  <si>
    <t>Halo Infinite 2026-02-05 22-23-31_av1_1080p_OPUS.mkv</t>
  </si>
  <si>
    <t>Halo Infinite 2026-02-05 22-25-15_av1_1080p_OPUS.mkv</t>
  </si>
  <si>
    <t>Halo Infinite 2026-02-05 23-01-14_av1_1080p_OPUS.mkv</t>
  </si>
  <si>
    <t>Halo Infinite 2026-02-07 15-43-57_av1_1080p_OPUS.mkv</t>
  </si>
  <si>
    <t>Halo Infinite 2026-02-08 20-38-26_av1_1080p_OPUS.mkv</t>
  </si>
  <si>
    <t>Halo Infinite 2026-02-09 18-11-13_av1_1080p_OPUS.mkv</t>
  </si>
  <si>
    <t>Halo Infinite 2026-02-09 18-16-31_av1_1080p_OPUS.mkv</t>
  </si>
  <si>
    <t>Halo Infinite 2026-02-09 18-24-17_av1_1080p_OPUS.mkv</t>
  </si>
  <si>
    <t>Halo Infinite 2026-02-09 21-54-07_av1_1080p_OPUS.mkv</t>
  </si>
  <si>
    <t>Halo Infinite 2026-02-09 21-58-56_av1_1080p_OPUS.mkv</t>
  </si>
  <si>
    <t>Halo Infinite 2026-02-09 22-40-56_av1_1080p_OPUS.mkv</t>
  </si>
  <si>
    <t>Halo Infinite 2026-02-10 20-59-46_av1_1080p_OPUS.mkv</t>
  </si>
  <si>
    <t>Halo Infinite 2026-02-11 16-42-16_av1_1080p_OPUS.mkv</t>
  </si>
  <si>
    <t>Halo Infinite 2026-02-11 18-02-17_av1_1080p_OPUS.mkv</t>
  </si>
  <si>
    <t>Halo Infinite 2026-02-12 17-19-09_av1_1080p_OPUS.mkv</t>
  </si>
  <si>
    <t>Halo Infinite 2026-02-12 17-20-08_av1_1080p_OPUS.mkv</t>
  </si>
  <si>
    <t>Halo Infinite 2026-02-12 17-53-53_av1_1080p_OPUS.mkv</t>
  </si>
  <si>
    <t>Halo Infinite 2026-02-12 18-01-21_av1_1080p_OPUS.mkv</t>
  </si>
  <si>
    <t>Halo Infinite 2026-02-15 18-39-10_av1_1080p_OPUS.mkv</t>
  </si>
  <si>
    <t>Halo Infinite 2026-02-15 20-20-54_av1_1080p_OPUS.mkv</t>
  </si>
  <si>
    <t>Halo Infinite 2026-02-16 21-54-22_av1_1080p_OPUS.mkv</t>
  </si>
  <si>
    <t>Halo Infinite 2026-02-17 21-41-03_av1_1080p_OPUS.mkv</t>
  </si>
  <si>
    <t>Halo Infinite 2026-02-18 15-18-12_av1_1080p_OPUS.mkv</t>
  </si>
  <si>
    <t>Halo Infinite 2026-02-18 15-21-13_av1_1080p_OPUS.mkv</t>
  </si>
  <si>
    <t>Halo Infinite 2026-02-18 15-42-17_av1_1080p_OPUS.mkv</t>
  </si>
  <si>
    <t>Halo Infinite 2026-02-18 17-37-18_av1_1080p_OPUS.mkv</t>
  </si>
  <si>
    <t>Halo Infinite 2026-02-18 17-44-25_av1_1080p_OPUS.mkv</t>
  </si>
  <si>
    <t>Halo Infinite 2026-02-18 22-35-32_av1_1080p_OPUS.mkv</t>
  </si>
  <si>
    <t>Halo Infinite 2026-02-19 18-31-11_av1_1080p_OPUS.mkv</t>
  </si>
  <si>
    <t>Halo Infinite 2026-02-19 18-31-25_av1_1080p_OPUS.mkv</t>
  </si>
  <si>
    <t>Halo Infinite 2026-02-20 17-30-24_av1_1080p_OPUS.mkv</t>
  </si>
  <si>
    <t>Halo Infinite 2026-02-24 18-36-09_av1_1080p_OPUS.mkv</t>
  </si>
  <si>
    <t>Halo Infinite 2026-03-31 21-57-22_av1_1080p_OPUS.mkv</t>
  </si>
  <si>
    <t>Halo Infinite 2026-04-19 16-33-45_av1_1080p_OPUS.mkv</t>
  </si>
  <si>
    <t>Halo Infinite 2026-04-19 16-39-19_av1_1080p_OPUS.mkv</t>
  </si>
  <si>
    <t>Halo Infinite 2026-04-19 17-22-23_av1_1080p_OPUS.mkv</t>
  </si>
  <si>
    <t>Halo Infinite 2026-04-19 17-34-46_av1_1080p_OPUS.mkv</t>
  </si>
  <si>
    <t>Halo Infinite 2026-04-19 17-43-35_av1_1080p_OPUS.mkv</t>
  </si>
  <si>
    <t>Fichier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</si>
</sst>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:ss"/>
    <numFmt numFmtId="165" formatCode="yyyy-mm-dd hh:mm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rgb="FF000000"/>
      <name val="-apple-system"/>
    </font>
    <font>
      <color theme="1"/>
      <name val="Arial"/>
      <scheme val="minor"/>
    </font>
    <font>
      <b/>
      <color rgb="FF000000"/>
      <name val="-apple-system"/>
    </font>
    <font>
      <color rgb="FF000000"/>
      <name val="Arial"/>
      <scheme val="minor"/>
    </font>
    <font>
      <b/>
      <color theme="1"/>
      <name val="-apple-system"/>
    </font>
    <font>
      <color theme="1"/>
      <name val="-apple-system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theme="8"/>
        <bgColor theme="8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0" fillId="0" fontId="1" numFmtId="0" xfId="0" applyAlignment="1" applyFont="1">
      <alignment readingOrder="0"/>
    </xf>
    <xf borderId="0" fillId="0" fontId="1" numFmtId="0" xfId="0" applyFont="1"/>
    <xf borderId="5" fillId="2" fontId="3" numFmtId="0" xfId="0" applyAlignment="1" applyBorder="1" applyFill="1" applyFont="1">
      <alignment readingOrder="0"/>
    </xf>
    <xf borderId="0" fillId="0" fontId="4" numFmtId="0" xfId="0" applyAlignment="1" applyFont="1">
      <alignment readingOrder="0"/>
    </xf>
    <xf borderId="0" fillId="3" fontId="4" numFmtId="0" xfId="0" applyAlignment="1" applyFill="1" applyFont="1">
      <alignment readingOrder="0"/>
    </xf>
    <xf borderId="0" fillId="0" fontId="4" numFmtId="4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2" fontId="4" numFmtId="0" xfId="0" applyAlignment="1" applyFont="1">
      <alignment readingOrder="0"/>
    </xf>
    <xf borderId="0" fillId="2" fontId="4" numFmtId="4" xfId="0" applyAlignment="1" applyFont="1" applyNumberFormat="1">
      <alignment readingOrder="0"/>
    </xf>
    <xf borderId="0" fillId="2" fontId="4" numFmtId="164" xfId="0" applyAlignment="1" applyFont="1" applyNumberFormat="1">
      <alignment readingOrder="0"/>
    </xf>
    <xf borderId="0" fillId="2" fontId="4" numFmtId="0" xfId="0" applyFont="1"/>
    <xf borderId="0" fillId="4" fontId="4" numFmtId="0" xfId="0" applyAlignment="1" applyFill="1" applyFont="1">
      <alignment readingOrder="0"/>
    </xf>
    <xf borderId="0" fillId="5" fontId="4" numFmtId="0" xfId="0" applyAlignment="1" applyFill="1" applyFont="1">
      <alignment readingOrder="0"/>
    </xf>
    <xf borderId="0" fillId="6" fontId="4" numFmtId="0" xfId="0" applyAlignment="1" applyFill="1" applyFont="1">
      <alignment readingOrder="0"/>
    </xf>
    <xf borderId="5" fillId="2" fontId="5" numFmtId="0" xfId="0" applyAlignment="1" applyBorder="1" applyFont="1">
      <alignment horizontal="center" readingOrder="0"/>
    </xf>
    <xf borderId="5" fillId="2" fontId="3" numFmtId="165" xfId="0" applyAlignment="1" applyBorder="1" applyFont="1" applyNumberFormat="1">
      <alignment readingOrder="0"/>
    </xf>
    <xf borderId="0" fillId="2" fontId="3" numFmtId="0" xfId="0" applyFont="1"/>
    <xf borderId="0" fillId="2" fontId="6" numFmtId="0" xfId="0" applyFont="1"/>
    <xf borderId="5" fillId="2" fontId="7" numFmtId="0" xfId="0" applyAlignment="1" applyBorder="1" applyFont="1">
      <alignment horizontal="center" readingOrder="0"/>
    </xf>
    <xf borderId="5" fillId="2" fontId="8" numFmtId="0" xfId="0" applyAlignment="1" applyBorder="1" applyFont="1">
      <alignment readingOrder="0"/>
    </xf>
    <xf borderId="5" fillId="2" fontId="8" numFmtId="165" xfId="0" applyAlignment="1" applyBorder="1" applyFont="1" applyNumberFormat="1">
      <alignment readingOrder="0"/>
    </xf>
    <xf borderId="0" fillId="2" fontId="5" numFmtId="0" xfId="0" applyAlignment="1" applyFont="1">
      <alignment horizontal="center" readingOrder="0"/>
    </xf>
    <xf borderId="5" fillId="2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9.25"/>
    <col customWidth="1" min="3" max="3" width="8.75"/>
    <col customWidth="1" min="4" max="4" width="40.88"/>
    <col customWidth="1" min="5" max="5" width="8.25"/>
    <col customWidth="1" min="6" max="6" width="8.13"/>
    <col customWidth="1" min="7" max="8" width="12.5"/>
    <col customWidth="1" hidden="1" min="10" max="10" width="8.0"/>
    <col customWidth="1" hidden="1" min="11" max="11" width="40.88"/>
    <col customWidth="1" min="12" max="12" width="5.63"/>
    <col customWidth="1" min="13" max="13" width="7.75"/>
    <col customWidth="1" min="14" max="16" width="9.25"/>
    <col customWidth="1" hidden="1" min="17" max="17" width="8.0"/>
    <col customWidth="1" hidden="1" min="18" max="18" width="40.88"/>
    <col customWidth="1" min="19" max="19" width="5.63"/>
    <col customWidth="1" min="20" max="20" width="7.75"/>
    <col customWidth="1" min="21" max="22" width="9.25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5"/>
      <c r="J1" s="3" t="s">
        <v>2</v>
      </c>
      <c r="K1" s="4"/>
      <c r="L1" s="4"/>
      <c r="M1" s="4"/>
      <c r="N1" s="4"/>
      <c r="O1" s="5"/>
      <c r="Q1" s="3" t="s">
        <v>3</v>
      </c>
      <c r="R1" s="4"/>
      <c r="S1" s="4"/>
      <c r="T1" s="4"/>
      <c r="U1" s="4"/>
      <c r="V1" s="5"/>
    </row>
    <row r="2">
      <c r="A2" s="6" t="s">
        <v>4</v>
      </c>
      <c r="B2" s="6"/>
      <c r="C2" s="6" t="s">
        <v>5</v>
      </c>
      <c r="D2" s="6" t="s">
        <v>6</v>
      </c>
      <c r="E2" s="6" t="s">
        <v>7</v>
      </c>
      <c r="F2" s="6" t="s">
        <v>8</v>
      </c>
      <c r="G2" s="6" t="s">
        <v>4</v>
      </c>
      <c r="H2" s="6" t="s">
        <v>9</v>
      </c>
      <c r="I2" s="7"/>
      <c r="J2" s="6" t="s">
        <v>5</v>
      </c>
      <c r="K2" s="6" t="s">
        <v>6</v>
      </c>
      <c r="L2" s="6" t="s">
        <v>7</v>
      </c>
      <c r="M2" s="6" t="s">
        <v>8</v>
      </c>
      <c r="N2" s="6" t="s">
        <v>4</v>
      </c>
      <c r="O2" s="6" t="s">
        <v>9</v>
      </c>
      <c r="P2" s="7"/>
      <c r="Q2" s="6" t="s">
        <v>5</v>
      </c>
      <c r="R2" s="6" t="s">
        <v>6</v>
      </c>
      <c r="S2" s="6" t="s">
        <v>7</v>
      </c>
      <c r="T2" s="6" t="s">
        <v>8</v>
      </c>
      <c r="U2" s="6" t="s">
        <v>4</v>
      </c>
      <c r="V2" s="6" t="s">
        <v>9</v>
      </c>
      <c r="W2" s="7"/>
      <c r="X2" s="7"/>
      <c r="Y2" s="7"/>
      <c r="Z2" s="7"/>
      <c r="AA2" s="7"/>
      <c r="AB2" s="7"/>
    </row>
    <row r="3">
      <c r="A3" s="8">
        <v>101.77</v>
      </c>
      <c r="B3" s="9"/>
      <c r="C3" s="9" t="s">
        <v>10</v>
      </c>
      <c r="D3" s="9" t="s">
        <v>11</v>
      </c>
      <c r="E3" s="10" t="s">
        <v>12</v>
      </c>
      <c r="F3" s="9" t="s">
        <v>13</v>
      </c>
      <c r="G3" s="11">
        <f t="array" ref="G3">INDEX(Adaptatif!C:C, MATCH("*" &amp; D3 &amp; "*", Adaptatif!B:B, 0))</f>
        <v>23.69</v>
      </c>
      <c r="H3" s="12">
        <v>3.0092592592592595E-4</v>
      </c>
      <c r="J3" s="9" t="s">
        <v>14</v>
      </c>
      <c r="K3" s="9" t="s">
        <v>11</v>
      </c>
      <c r="L3" s="9" t="s">
        <v>15</v>
      </c>
      <c r="M3" s="9" t="s">
        <v>16</v>
      </c>
      <c r="N3" s="11">
        <f t="array" ref="N3">INDEX(Serie!C:C, MATCH("*" &amp; D3 &amp; "*", Serie!B:B, 0))</f>
        <v>11.04</v>
      </c>
      <c r="O3" s="12">
        <v>3.0092592592592595E-4</v>
      </c>
      <c r="Q3" s="13" t="s">
        <v>10</v>
      </c>
      <c r="R3" s="13" t="s">
        <v>11</v>
      </c>
      <c r="S3" s="13" t="s">
        <v>17</v>
      </c>
      <c r="T3" s="13" t="s">
        <v>13</v>
      </c>
      <c r="U3" s="14">
        <f t="array" ref="U3">INDEX(Film!C:C, MATCH("*" &amp; D3 &amp; "*", Film!B:B, 0))</f>
        <v>13.82</v>
      </c>
      <c r="V3" s="15">
        <v>3.356481481481481E-4</v>
      </c>
      <c r="W3" s="16"/>
    </row>
    <row r="4">
      <c r="A4" s="8">
        <v>101.72</v>
      </c>
      <c r="B4" s="9"/>
      <c r="C4" s="9" t="s">
        <v>18</v>
      </c>
      <c r="D4" s="9" t="s">
        <v>19</v>
      </c>
      <c r="E4" s="10" t="s">
        <v>20</v>
      </c>
      <c r="F4" s="9" t="s">
        <v>13</v>
      </c>
      <c r="G4" s="11">
        <f t="array" ref="G4">INDEX(Adaptatif!C:C, MATCH("*" &amp; D4 &amp; "*", Adaptatif!B:B, 0))</f>
        <v>25.33</v>
      </c>
      <c r="H4" s="12">
        <v>3.0092592592592595E-4</v>
      </c>
      <c r="J4" s="9" t="s">
        <v>21</v>
      </c>
      <c r="K4" s="9" t="s">
        <v>22</v>
      </c>
      <c r="L4" s="9" t="s">
        <v>23</v>
      </c>
      <c r="M4" s="9" t="s">
        <v>16</v>
      </c>
      <c r="N4" s="11">
        <f t="array" ref="N4">INDEX(Serie!C:C, MATCH("*" &amp; D4 &amp; "*", Serie!B:B, 0))</f>
        <v>11.27</v>
      </c>
      <c r="O4" s="12">
        <v>3.0092592592592595E-4</v>
      </c>
      <c r="Q4" s="13" t="s">
        <v>24</v>
      </c>
      <c r="R4" s="13" t="s">
        <v>22</v>
      </c>
      <c r="S4" s="13" t="s">
        <v>25</v>
      </c>
      <c r="T4" s="13" t="s">
        <v>13</v>
      </c>
      <c r="U4" s="14">
        <f t="array" ref="U4">INDEX(Film!C:C, MATCH("*" &amp; D4 &amp; "*", Film!B:B, 0))</f>
        <v>14.73</v>
      </c>
      <c r="V4" s="15">
        <v>3.356481481481481E-4</v>
      </c>
      <c r="W4" s="16"/>
    </row>
    <row r="5">
      <c r="A5" s="8">
        <v>101.6</v>
      </c>
      <c r="B5" s="9"/>
      <c r="C5" s="9" t="s">
        <v>24</v>
      </c>
      <c r="D5" s="9" t="s">
        <v>22</v>
      </c>
      <c r="E5" s="10" t="s">
        <v>26</v>
      </c>
      <c r="F5" s="9" t="s">
        <v>13</v>
      </c>
      <c r="G5" s="11">
        <f t="array" ref="G5">INDEX(Adaptatif!C:C, MATCH("*" &amp; D5 &amp; "*", Adaptatif!B:B, 0))</f>
        <v>25.22</v>
      </c>
      <c r="H5" s="12">
        <v>3.0092592592592595E-4</v>
      </c>
      <c r="J5" s="9" t="s">
        <v>27</v>
      </c>
      <c r="K5" s="9" t="s">
        <v>19</v>
      </c>
      <c r="L5" s="9" t="s">
        <v>28</v>
      </c>
      <c r="M5" s="9" t="s">
        <v>13</v>
      </c>
      <c r="N5" s="11">
        <f t="array" ref="N5">INDEX(Serie!C:C, MATCH("*" &amp; D5 &amp; "*", Serie!B:B, 0))</f>
        <v>10.89</v>
      </c>
      <c r="O5" s="12">
        <v>3.125E-4</v>
      </c>
      <c r="Q5" s="13" t="s">
        <v>18</v>
      </c>
      <c r="R5" s="13" t="s">
        <v>19</v>
      </c>
      <c r="S5" s="13" t="s">
        <v>29</v>
      </c>
      <c r="T5" s="13" t="s">
        <v>13</v>
      </c>
      <c r="U5" s="14">
        <f t="array" ref="U5">INDEX(Film!C:C, MATCH("*" &amp; D5 &amp; "*", Film!B:B, 0))</f>
        <v>14.41</v>
      </c>
      <c r="V5" s="15">
        <v>3.4722222222222224E-4</v>
      </c>
      <c r="W5" s="16"/>
    </row>
    <row r="6">
      <c r="A6" s="8">
        <v>101.59</v>
      </c>
      <c r="B6" s="9"/>
      <c r="C6" s="9" t="s">
        <v>30</v>
      </c>
      <c r="D6" s="9" t="s">
        <v>31</v>
      </c>
      <c r="E6" s="10" t="s">
        <v>32</v>
      </c>
      <c r="F6" s="9" t="s">
        <v>16</v>
      </c>
      <c r="G6" s="11">
        <f t="array" ref="G6">INDEX(Adaptatif!C:C, MATCH("*" &amp; D6 &amp; "*", Adaptatif!B:B, 0))</f>
        <v>26.33</v>
      </c>
      <c r="H6" s="12">
        <v>3.0092592592592595E-4</v>
      </c>
      <c r="J6" s="9" t="s">
        <v>33</v>
      </c>
      <c r="K6" s="9" t="s">
        <v>31</v>
      </c>
      <c r="L6" s="9" t="s">
        <v>34</v>
      </c>
      <c r="M6" s="9" t="s">
        <v>35</v>
      </c>
      <c r="N6" s="11">
        <f t="array" ref="N6">INDEX(Serie!C:C, MATCH("*" &amp; D6 &amp; "*", Serie!B:B, 0))</f>
        <v>11.41</v>
      </c>
      <c r="O6" s="12">
        <v>3.0092592592592595E-4</v>
      </c>
      <c r="Q6" s="13" t="s">
        <v>30</v>
      </c>
      <c r="R6" s="13" t="s">
        <v>31</v>
      </c>
      <c r="S6" s="13" t="s">
        <v>36</v>
      </c>
      <c r="T6" s="13" t="s">
        <v>16</v>
      </c>
      <c r="U6" s="14">
        <f t="array" ref="U6">INDEX(Film!C:C, MATCH("*" &amp; D6 &amp; "*", Film!B:B, 0))</f>
        <v>14.96</v>
      </c>
      <c r="V6" s="15">
        <v>3.356481481481481E-4</v>
      </c>
      <c r="W6" s="16"/>
    </row>
    <row r="7">
      <c r="A7" s="8">
        <v>101.48</v>
      </c>
      <c r="B7" s="9"/>
      <c r="C7" s="9" t="s">
        <v>37</v>
      </c>
      <c r="D7" s="9" t="s">
        <v>38</v>
      </c>
      <c r="E7" s="10" t="s">
        <v>39</v>
      </c>
      <c r="F7" s="9" t="s">
        <v>16</v>
      </c>
      <c r="G7" s="11">
        <f t="array" ref="G7">INDEX(Adaptatif!C:C, MATCH("*" &amp; D7 &amp; "*", Adaptatif!B:B, 0))</f>
        <v>22.83</v>
      </c>
      <c r="H7" s="12">
        <v>3.0092592592592595E-4</v>
      </c>
      <c r="J7" s="9" t="s">
        <v>40</v>
      </c>
      <c r="K7" s="9" t="s">
        <v>38</v>
      </c>
      <c r="L7" s="9" t="s">
        <v>41</v>
      </c>
      <c r="M7" s="9" t="s">
        <v>16</v>
      </c>
      <c r="N7" s="11">
        <f t="array" ref="N7">INDEX(Serie!C:C, MATCH("*" &amp; D7 &amp; "*", Serie!B:B, 0))</f>
        <v>11.53</v>
      </c>
      <c r="O7" s="12">
        <v>3.0092592592592595E-4</v>
      </c>
      <c r="Q7" s="13" t="s">
        <v>37</v>
      </c>
      <c r="R7" s="13" t="s">
        <v>38</v>
      </c>
      <c r="S7" s="13" t="s">
        <v>42</v>
      </c>
      <c r="T7" s="13" t="s">
        <v>16</v>
      </c>
      <c r="U7" s="14">
        <f t="array" ref="U7">INDEX(Film!C:C, MATCH("*" &amp; D7 &amp; "*", Film!B:B, 0))</f>
        <v>14.75</v>
      </c>
      <c r="V7" s="15">
        <v>3.356481481481481E-4</v>
      </c>
      <c r="W7" s="16"/>
    </row>
    <row r="8">
      <c r="A8" s="8">
        <v>101.45</v>
      </c>
      <c r="B8" s="9"/>
      <c r="C8" s="9" t="s">
        <v>43</v>
      </c>
      <c r="D8" s="9" t="s">
        <v>44</v>
      </c>
      <c r="E8" s="10" t="s">
        <v>45</v>
      </c>
      <c r="F8" s="9" t="s">
        <v>35</v>
      </c>
      <c r="G8" s="11">
        <f t="array" ref="G8">INDEX(Adaptatif!C:C, MATCH("*" &amp; D8 &amp; "*", Adaptatif!B:B, 0))</f>
        <v>26.86</v>
      </c>
      <c r="H8" s="12">
        <v>3.125E-4</v>
      </c>
      <c r="J8" s="9" t="s">
        <v>46</v>
      </c>
      <c r="K8" s="9" t="s">
        <v>44</v>
      </c>
      <c r="L8" s="9" t="s">
        <v>47</v>
      </c>
      <c r="M8" s="9" t="s">
        <v>35</v>
      </c>
      <c r="N8" s="11">
        <f t="array" ref="N8">INDEX(Serie!C:C, MATCH("*" &amp; D8 &amp; "*", Serie!B:B, 0))</f>
        <v>10.83</v>
      </c>
      <c r="O8" s="12">
        <v>3.125E-4</v>
      </c>
      <c r="Q8" s="13" t="s">
        <v>43</v>
      </c>
      <c r="R8" s="13" t="s">
        <v>44</v>
      </c>
      <c r="S8" s="13" t="s">
        <v>48</v>
      </c>
      <c r="T8" s="13" t="s">
        <v>35</v>
      </c>
      <c r="U8" s="14">
        <f t="array" ref="U8">INDEX(Film!C:C, MATCH("*" &amp; D8 &amp; "*", Film!B:B, 0))</f>
        <v>14.23</v>
      </c>
      <c r="V8" s="15">
        <v>3.356481481481481E-4</v>
      </c>
      <c r="W8" s="16"/>
    </row>
    <row r="9">
      <c r="A9" s="8">
        <v>101.44</v>
      </c>
      <c r="B9" s="9"/>
      <c r="C9" s="9" t="s">
        <v>49</v>
      </c>
      <c r="D9" s="9" t="s">
        <v>50</v>
      </c>
      <c r="E9" s="10" t="s">
        <v>51</v>
      </c>
      <c r="F9" s="9" t="s">
        <v>13</v>
      </c>
      <c r="G9" s="11">
        <f t="array" ref="G9">INDEX(Adaptatif!C:C, MATCH("*" &amp; D9 &amp; "*", Adaptatif!B:B, 0))</f>
        <v>25.04</v>
      </c>
      <c r="H9" s="12">
        <v>3.125E-4</v>
      </c>
      <c r="J9" s="9" t="s">
        <v>52</v>
      </c>
      <c r="K9" s="9" t="s">
        <v>50</v>
      </c>
      <c r="L9" s="9" t="s">
        <v>53</v>
      </c>
      <c r="M9" s="9" t="s">
        <v>13</v>
      </c>
      <c r="N9" s="11">
        <f t="array" ref="N9">INDEX(Serie!C:C, MATCH("*" &amp; D9 &amp; "*", Serie!B:B, 0))</f>
        <v>10.98</v>
      </c>
      <c r="O9" s="12">
        <v>3.0092592592592595E-4</v>
      </c>
      <c r="Q9" s="13" t="s">
        <v>49</v>
      </c>
      <c r="R9" s="13" t="s">
        <v>50</v>
      </c>
      <c r="S9" s="13" t="s">
        <v>54</v>
      </c>
      <c r="T9" s="13" t="s">
        <v>13</v>
      </c>
      <c r="U9" s="14">
        <f t="array" ref="U9">INDEX(Film!C:C, MATCH("*" &amp; D9 &amp; "*", Film!B:B, 0))</f>
        <v>14.6</v>
      </c>
      <c r="V9" s="15">
        <v>3.4722222222222224E-4</v>
      </c>
      <c r="W9" s="16"/>
    </row>
    <row r="10">
      <c r="A10" s="8">
        <v>101.42</v>
      </c>
      <c r="B10" s="9"/>
      <c r="C10" s="9" t="s">
        <v>55</v>
      </c>
      <c r="D10" s="9" t="s">
        <v>56</v>
      </c>
      <c r="E10" s="10" t="s">
        <v>57</v>
      </c>
      <c r="F10" s="9" t="s">
        <v>13</v>
      </c>
      <c r="G10" s="11">
        <f t="array" ref="G10">INDEX(Adaptatif!C:C, MATCH("*" &amp; D10 &amp; "*", Adaptatif!B:B, 0))</f>
        <v>23.61</v>
      </c>
      <c r="H10" s="12">
        <v>3.356481481481481E-4</v>
      </c>
      <c r="J10" s="9" t="s">
        <v>58</v>
      </c>
      <c r="K10" s="9" t="s">
        <v>56</v>
      </c>
      <c r="L10" s="9" t="s">
        <v>59</v>
      </c>
      <c r="M10" s="9" t="s">
        <v>13</v>
      </c>
      <c r="N10" s="11">
        <f t="array" ref="N10">INDEX(Serie!C:C, MATCH("*" &amp; D10 &amp; "*", Serie!B:B, 0))</f>
        <v>11.02</v>
      </c>
      <c r="O10" s="12">
        <v>3.0092592592592595E-4</v>
      </c>
      <c r="Q10" s="13" t="s">
        <v>55</v>
      </c>
      <c r="R10" s="13" t="s">
        <v>56</v>
      </c>
      <c r="S10" s="13" t="s">
        <v>60</v>
      </c>
      <c r="T10" s="13" t="s">
        <v>13</v>
      </c>
      <c r="U10" s="14">
        <f t="array" ref="U10">INDEX(Film!C:C, MATCH("*" &amp; D10 &amp; "*", Film!B:B, 0))</f>
        <v>13.53</v>
      </c>
      <c r="V10" s="15">
        <v>3.587962962962963E-4</v>
      </c>
      <c r="W10" s="16"/>
    </row>
    <row r="11">
      <c r="A11" s="8">
        <v>101.25</v>
      </c>
      <c r="B11" s="9"/>
      <c r="C11" s="9" t="s">
        <v>61</v>
      </c>
      <c r="D11" s="9" t="s">
        <v>62</v>
      </c>
      <c r="E11" s="10" t="s">
        <v>63</v>
      </c>
      <c r="F11" s="9" t="s">
        <v>13</v>
      </c>
      <c r="G11" s="11">
        <f t="array" ref="G11">INDEX(Adaptatif!C:C, MATCH("*" &amp; D11 &amp; "*", Adaptatif!B:B, 0))</f>
        <v>26.8</v>
      </c>
      <c r="H11" s="12">
        <v>3.356481481481481E-4</v>
      </c>
      <c r="J11" s="9" t="s">
        <v>64</v>
      </c>
      <c r="K11" s="9" t="s">
        <v>62</v>
      </c>
      <c r="L11" s="9" t="s">
        <v>65</v>
      </c>
      <c r="M11" s="9" t="s">
        <v>13</v>
      </c>
      <c r="N11" s="11">
        <f t="array" ref="N11">INDEX(Serie!C:C, MATCH("*" &amp; D11 &amp; "*", Serie!B:B, 0))</f>
        <v>11.23</v>
      </c>
      <c r="O11" s="12">
        <v>3.0092592592592595E-4</v>
      </c>
      <c r="Q11" s="13" t="s">
        <v>61</v>
      </c>
      <c r="R11" s="13" t="s">
        <v>62</v>
      </c>
      <c r="S11" s="13" t="s">
        <v>66</v>
      </c>
      <c r="T11" s="13" t="s">
        <v>13</v>
      </c>
      <c r="U11" s="14">
        <f t="array" ref="U11">INDEX(Film!C:C, MATCH("*" &amp; D11 &amp; "*", Film!B:B, 0))</f>
        <v>14.84</v>
      </c>
      <c r="V11" s="15">
        <v>3.356481481481481E-4</v>
      </c>
      <c r="W11" s="16"/>
    </row>
    <row r="12">
      <c r="A12" s="8">
        <v>101.22</v>
      </c>
      <c r="B12" s="9"/>
      <c r="C12" s="9" t="s">
        <v>67</v>
      </c>
      <c r="D12" s="9" t="s">
        <v>68</v>
      </c>
      <c r="E12" s="10" t="s">
        <v>69</v>
      </c>
      <c r="F12" s="9" t="s">
        <v>13</v>
      </c>
      <c r="G12" s="11">
        <f t="array" ref="G12">INDEX(Adaptatif!C:C, MATCH("*" &amp; D12 &amp; "*", Adaptatif!B:B, 0))</f>
        <v>26.29</v>
      </c>
      <c r="H12" s="12">
        <v>3.2407407407407406E-4</v>
      </c>
      <c r="J12" s="9" t="s">
        <v>70</v>
      </c>
      <c r="K12" s="9" t="s">
        <v>68</v>
      </c>
      <c r="L12" s="9" t="s">
        <v>71</v>
      </c>
      <c r="M12" s="9" t="s">
        <v>16</v>
      </c>
      <c r="N12" s="11">
        <f t="array" ref="N12">INDEX(Serie!C:C, MATCH("*" &amp; D12 &amp; "*", Serie!B:B, 0))</f>
        <v>10.7</v>
      </c>
      <c r="O12" s="12">
        <v>3.0092592592592595E-4</v>
      </c>
      <c r="Q12" s="13" t="s">
        <v>67</v>
      </c>
      <c r="R12" s="13" t="s">
        <v>68</v>
      </c>
      <c r="S12" s="13" t="s">
        <v>72</v>
      </c>
      <c r="T12" s="13" t="s">
        <v>16</v>
      </c>
      <c r="U12" s="14">
        <f t="array" ref="U12">INDEX(Film!C:C, MATCH("*" &amp; D12 &amp; "*", Film!B:B, 0))</f>
        <v>13.93</v>
      </c>
      <c r="V12" s="15">
        <v>3.356481481481481E-4</v>
      </c>
      <c r="W12" s="16"/>
    </row>
    <row r="13">
      <c r="A13" s="8">
        <v>101.19</v>
      </c>
      <c r="B13" s="9"/>
      <c r="C13" s="9" t="s">
        <v>73</v>
      </c>
      <c r="D13" s="9" t="s">
        <v>74</v>
      </c>
      <c r="E13" s="10" t="s">
        <v>75</v>
      </c>
      <c r="F13" s="9" t="s">
        <v>35</v>
      </c>
      <c r="G13" s="11">
        <f t="array" ref="G13">INDEX(Adaptatif!C:C, MATCH("*" &amp; D13 &amp; "*", Adaptatif!B:B, 0))</f>
        <v>33.52</v>
      </c>
      <c r="H13" s="12">
        <v>1.388888888888889E-4</v>
      </c>
      <c r="J13" s="9" t="s">
        <v>76</v>
      </c>
      <c r="K13" s="9" t="s">
        <v>74</v>
      </c>
      <c r="L13" s="9" t="s">
        <v>77</v>
      </c>
      <c r="M13" s="9" t="s">
        <v>35</v>
      </c>
      <c r="N13" s="11">
        <f t="array" ref="N13">INDEX(Serie!C:C, MATCH("*" &amp; D13 &amp; "*", Serie!B:B, 0))</f>
        <v>10.37</v>
      </c>
      <c r="O13" s="12">
        <v>1.273148148148148E-4</v>
      </c>
      <c r="Q13" s="13" t="s">
        <v>73</v>
      </c>
      <c r="R13" s="13" t="s">
        <v>74</v>
      </c>
      <c r="S13" s="13" t="s">
        <v>78</v>
      </c>
      <c r="T13" s="13" t="s">
        <v>35</v>
      </c>
      <c r="U13" s="14">
        <f t="array" ref="U13">INDEX(Film!C:C, MATCH("*" &amp; D13 &amp; "*", Film!B:B, 0))</f>
        <v>12.94</v>
      </c>
      <c r="V13" s="15">
        <v>1.273148148148148E-4</v>
      </c>
      <c r="W13" s="16"/>
    </row>
    <row r="14">
      <c r="A14" s="8">
        <v>101.05</v>
      </c>
      <c r="B14" s="9"/>
      <c r="C14" s="9" t="s">
        <v>79</v>
      </c>
      <c r="D14" s="9" t="s">
        <v>80</v>
      </c>
      <c r="E14" s="17" t="s">
        <v>81</v>
      </c>
      <c r="F14" s="18" t="s">
        <v>82</v>
      </c>
      <c r="G14" s="11">
        <f t="array" ref="G14">INDEX(Adaptatif!C:C, MATCH("*" &amp; D14 &amp; "*", Adaptatif!B:B, 0))</f>
        <v>41.34</v>
      </c>
      <c r="H14" s="12">
        <v>1.388888888888889E-4</v>
      </c>
      <c r="J14" s="9" t="s">
        <v>83</v>
      </c>
      <c r="K14" s="9" t="s">
        <v>80</v>
      </c>
      <c r="L14" s="17" t="s">
        <v>84</v>
      </c>
      <c r="M14" s="18" t="s">
        <v>82</v>
      </c>
      <c r="N14" s="11">
        <f t="array" ref="N14">INDEX(Serie!C:C, MATCH("*" &amp; D14 &amp; "*", Serie!B:B, 0))</f>
        <v>10.38</v>
      </c>
      <c r="O14" s="12">
        <v>1.273148148148148E-4</v>
      </c>
      <c r="Q14" s="13" t="s">
        <v>79</v>
      </c>
      <c r="R14" s="13" t="s">
        <v>80</v>
      </c>
      <c r="S14" s="13" t="s">
        <v>85</v>
      </c>
      <c r="T14" s="18" t="s">
        <v>82</v>
      </c>
      <c r="U14" s="14">
        <f t="array" ref="U14">INDEX(Film!C:C, MATCH("*" &amp; D14 &amp; "*", Film!B:B, 0))</f>
        <v>13.73</v>
      </c>
      <c r="V14" s="15">
        <v>1.273148148148148E-4</v>
      </c>
      <c r="W14" s="16"/>
    </row>
    <row r="15">
      <c r="A15" s="8">
        <v>101.03</v>
      </c>
      <c r="B15" s="9"/>
      <c r="C15" s="9" t="s">
        <v>86</v>
      </c>
      <c r="D15" s="9" t="s">
        <v>87</v>
      </c>
      <c r="E15" s="10" t="s">
        <v>88</v>
      </c>
      <c r="F15" s="9" t="s">
        <v>16</v>
      </c>
      <c r="G15" s="11">
        <f t="array" ref="G15">INDEX(Adaptatif!C:C, MATCH("*" &amp; D15 &amp; "*", Adaptatif!B:B, 0))</f>
        <v>26.26</v>
      </c>
      <c r="H15" s="12">
        <v>3.356481481481481E-4</v>
      </c>
      <c r="J15" s="9" t="s">
        <v>89</v>
      </c>
      <c r="K15" s="9" t="s">
        <v>87</v>
      </c>
      <c r="L15" s="9" t="s">
        <v>90</v>
      </c>
      <c r="M15" s="9" t="s">
        <v>16</v>
      </c>
      <c r="N15" s="11">
        <f t="array" ref="N15">INDEX(Serie!C:C, MATCH("*" &amp; D15 &amp; "*", Serie!B:B, 0))</f>
        <v>10.99</v>
      </c>
      <c r="O15" s="12">
        <v>3.125E-4</v>
      </c>
      <c r="Q15" s="13" t="s">
        <v>86</v>
      </c>
      <c r="R15" s="13" t="s">
        <v>87</v>
      </c>
      <c r="S15" s="13" t="s">
        <v>91</v>
      </c>
      <c r="T15" s="13" t="s">
        <v>16</v>
      </c>
      <c r="U15" s="14">
        <f t="array" ref="U15">INDEX(Film!C:C, MATCH("*" &amp; D15 &amp; "*", Film!B:B, 0))</f>
        <v>14.03</v>
      </c>
      <c r="V15" s="15">
        <v>3.4722222222222224E-4</v>
      </c>
      <c r="W15" s="16"/>
    </row>
    <row r="16">
      <c r="A16" s="8">
        <v>100.93</v>
      </c>
      <c r="B16" s="9"/>
      <c r="C16" s="9" t="s">
        <v>92</v>
      </c>
      <c r="D16" s="9" t="s">
        <v>93</v>
      </c>
      <c r="E16" s="10" t="s">
        <v>94</v>
      </c>
      <c r="F16" s="9" t="s">
        <v>16</v>
      </c>
      <c r="G16" s="11">
        <f t="array" ref="G16">INDEX(Adaptatif!C:C, MATCH("*" &amp; D16 &amp; "*", Adaptatif!B:B, 0))</f>
        <v>22.33</v>
      </c>
      <c r="H16" s="12">
        <v>3.2407407407407406E-4</v>
      </c>
      <c r="J16" s="9" t="s">
        <v>95</v>
      </c>
      <c r="K16" s="9" t="s">
        <v>93</v>
      </c>
      <c r="L16" s="9" t="s">
        <v>96</v>
      </c>
      <c r="M16" s="9" t="s">
        <v>16</v>
      </c>
      <c r="N16" s="11">
        <f t="array" ref="N16">INDEX(Serie!C:C, MATCH("*" &amp; D16 &amp; "*", Serie!B:B, 0))</f>
        <v>10.93</v>
      </c>
      <c r="O16" s="12">
        <v>3.125E-4</v>
      </c>
      <c r="Q16" s="13" t="s">
        <v>92</v>
      </c>
      <c r="R16" s="13" t="s">
        <v>93</v>
      </c>
      <c r="S16" s="13" t="s">
        <v>97</v>
      </c>
      <c r="T16" s="13" t="s">
        <v>16</v>
      </c>
      <c r="U16" s="14">
        <f t="array" ref="U16">INDEX(Film!C:C, MATCH("*" &amp; D16 &amp; "*", Film!B:B, 0))</f>
        <v>13.62</v>
      </c>
      <c r="V16" s="15">
        <v>3.356481481481481E-4</v>
      </c>
      <c r="W16" s="16"/>
    </row>
    <row r="17">
      <c r="A17" s="8">
        <v>100.92</v>
      </c>
      <c r="B17" s="9"/>
      <c r="C17" s="9" t="s">
        <v>98</v>
      </c>
      <c r="D17" s="9" t="s">
        <v>99</v>
      </c>
      <c r="E17" s="10" t="s">
        <v>100</v>
      </c>
      <c r="F17" s="9" t="s">
        <v>13</v>
      </c>
      <c r="G17" s="11">
        <f t="array" ref="G17">INDEX(Adaptatif!C:C, MATCH("*" &amp; D17 &amp; "*", Adaptatif!B:B, 0))</f>
        <v>26.21</v>
      </c>
      <c r="H17" s="12">
        <v>3.356481481481481E-4</v>
      </c>
      <c r="J17" s="9" t="s">
        <v>101</v>
      </c>
      <c r="K17" s="9" t="s">
        <v>99</v>
      </c>
      <c r="L17" s="9" t="s">
        <v>102</v>
      </c>
      <c r="M17" s="9" t="s">
        <v>16</v>
      </c>
      <c r="N17" s="11">
        <f t="array" ref="N17">INDEX(Serie!C:C, MATCH("*" &amp; D17 &amp; "*", Serie!B:B, 0))</f>
        <v>11.42</v>
      </c>
      <c r="O17" s="12">
        <v>3.0092592592592595E-4</v>
      </c>
      <c r="Q17" s="13" t="s">
        <v>98</v>
      </c>
      <c r="R17" s="13" t="s">
        <v>99</v>
      </c>
      <c r="S17" s="13" t="s">
        <v>103</v>
      </c>
      <c r="T17" s="13" t="s">
        <v>16</v>
      </c>
      <c r="U17" s="14">
        <f t="array" ref="U17">INDEX(Film!C:C, MATCH("*" &amp; D17 &amp; "*", Film!B:B, 0))</f>
        <v>14.8</v>
      </c>
      <c r="V17" s="15">
        <v>3.356481481481481E-4</v>
      </c>
      <c r="W17" s="16"/>
    </row>
    <row r="18">
      <c r="A18" s="8">
        <v>100.86</v>
      </c>
      <c r="B18" s="9"/>
      <c r="C18" s="9" t="s">
        <v>104</v>
      </c>
      <c r="D18" s="9" t="s">
        <v>105</v>
      </c>
      <c r="E18" s="10" t="s">
        <v>106</v>
      </c>
      <c r="F18" s="9" t="s">
        <v>16</v>
      </c>
      <c r="G18" s="11">
        <f t="array" ref="G18">INDEX(Adaptatif!C:C, MATCH("*" &amp; D18 &amp; "*", Adaptatif!B:B, 0))</f>
        <v>20.38</v>
      </c>
      <c r="H18" s="12">
        <v>3.2407407407407406E-4</v>
      </c>
      <c r="J18" s="9" t="s">
        <v>107</v>
      </c>
      <c r="K18" s="9" t="s">
        <v>105</v>
      </c>
      <c r="L18" s="9" t="s">
        <v>108</v>
      </c>
      <c r="M18" s="9" t="s">
        <v>16</v>
      </c>
      <c r="N18" s="11">
        <f t="array" ref="N18">INDEX(Serie!C:C, MATCH("*" &amp; D18 &amp; "*", Serie!B:B, 0))</f>
        <v>10.02</v>
      </c>
      <c r="O18" s="12">
        <v>3.0092592592592595E-4</v>
      </c>
      <c r="Q18" s="13" t="s">
        <v>104</v>
      </c>
      <c r="R18" s="13" t="s">
        <v>105</v>
      </c>
      <c r="S18" s="13" t="s">
        <v>109</v>
      </c>
      <c r="T18" s="13" t="s">
        <v>16</v>
      </c>
      <c r="U18" s="14">
        <f t="array" ref="U18">INDEX(Film!C:C, MATCH("*" &amp; D18 &amp; "*", Film!B:B, 0))</f>
        <v>12.92</v>
      </c>
      <c r="V18" s="15">
        <v>3.356481481481481E-4</v>
      </c>
      <c r="W18" s="16"/>
    </row>
    <row r="19">
      <c r="A19" s="8">
        <v>100.8</v>
      </c>
      <c r="B19" s="9"/>
      <c r="C19" s="9" t="s">
        <v>110</v>
      </c>
      <c r="D19" s="9" t="s">
        <v>111</v>
      </c>
      <c r="E19" s="10" t="s">
        <v>112</v>
      </c>
      <c r="F19" s="9" t="s">
        <v>13</v>
      </c>
      <c r="G19" s="11">
        <f t="array" ref="G19">INDEX(Adaptatif!C:C, MATCH("*" &amp; D19 &amp; "*", Adaptatif!B:B, 0))</f>
        <v>21.58</v>
      </c>
      <c r="H19" s="12">
        <v>3.125E-4</v>
      </c>
      <c r="J19" s="9" t="s">
        <v>113</v>
      </c>
      <c r="K19" s="9" t="s">
        <v>111</v>
      </c>
      <c r="L19" s="9" t="s">
        <v>114</v>
      </c>
      <c r="M19" s="9" t="s">
        <v>16</v>
      </c>
      <c r="N19" s="11">
        <f t="array" ref="N19">INDEX(Serie!C:C, MATCH("*" &amp; D19 &amp; "*", Serie!B:B, 0))</f>
        <v>9.85</v>
      </c>
      <c r="O19" s="12">
        <v>3.0092592592592595E-4</v>
      </c>
      <c r="Q19" s="13" t="s">
        <v>110</v>
      </c>
      <c r="R19" s="13" t="s">
        <v>111</v>
      </c>
      <c r="S19" s="13" t="s">
        <v>115</v>
      </c>
      <c r="T19" s="13" t="s">
        <v>13</v>
      </c>
      <c r="U19" s="14">
        <f t="array" ref="U19">INDEX(Film!C:C, MATCH("*" &amp; D19 &amp; "*", Film!B:B, 0))</f>
        <v>12.69</v>
      </c>
      <c r="V19" s="15">
        <v>3.4722222222222224E-4</v>
      </c>
      <c r="W19" s="16"/>
    </row>
    <row r="20">
      <c r="A20" s="8">
        <v>100.76</v>
      </c>
      <c r="B20" s="9"/>
      <c r="C20" s="9" t="s">
        <v>116</v>
      </c>
      <c r="D20" s="9" t="s">
        <v>117</v>
      </c>
      <c r="E20" s="10" t="s">
        <v>118</v>
      </c>
      <c r="F20" s="9" t="s">
        <v>13</v>
      </c>
      <c r="G20" s="11">
        <f t="array" ref="G20">INDEX(Adaptatif!C:C, MATCH("*" &amp; D20 &amp; "*", Adaptatif!B:B, 0))</f>
        <v>24.36</v>
      </c>
      <c r="H20" s="12">
        <v>3.2407407407407406E-4</v>
      </c>
      <c r="J20" s="9" t="s">
        <v>119</v>
      </c>
      <c r="K20" s="9" t="s">
        <v>117</v>
      </c>
      <c r="L20" s="9" t="s">
        <v>120</v>
      </c>
      <c r="M20" s="9" t="s">
        <v>13</v>
      </c>
      <c r="N20" s="11">
        <f t="array" ref="N20">INDEX(Serie!C:C, MATCH("*" &amp; D20 &amp; "*", Serie!B:B, 0))</f>
        <v>10.69</v>
      </c>
      <c r="O20" s="12">
        <v>3.0092592592592595E-4</v>
      </c>
      <c r="Q20" s="13" t="s">
        <v>116</v>
      </c>
      <c r="R20" s="13" t="s">
        <v>117</v>
      </c>
      <c r="S20" s="13" t="s">
        <v>121</v>
      </c>
      <c r="T20" s="13" t="s">
        <v>13</v>
      </c>
      <c r="U20" s="14">
        <f t="array" ref="U20">INDEX(Film!C:C, MATCH("*" &amp; D20 &amp; "*", Film!B:B, 0))</f>
        <v>13.34</v>
      </c>
      <c r="V20" s="15">
        <v>3.4722222222222224E-4</v>
      </c>
      <c r="W20" s="16"/>
    </row>
    <row r="21">
      <c r="A21" s="8">
        <v>100.44</v>
      </c>
      <c r="B21" s="9"/>
      <c r="C21" s="9" t="s">
        <v>122</v>
      </c>
      <c r="D21" s="9" t="s">
        <v>123</v>
      </c>
      <c r="E21" s="10" t="s">
        <v>124</v>
      </c>
      <c r="F21" s="9" t="s">
        <v>16</v>
      </c>
      <c r="G21" s="11">
        <f t="array" ref="G21">INDEX(Adaptatif!C:C, MATCH("*" &amp; D21 &amp; "*", Adaptatif!B:B, 0))</f>
        <v>24.71</v>
      </c>
      <c r="H21" s="12">
        <v>3.2407407407407406E-4</v>
      </c>
      <c r="J21" s="9" t="s">
        <v>125</v>
      </c>
      <c r="K21" s="9" t="s">
        <v>123</v>
      </c>
      <c r="L21" s="9" t="s">
        <v>126</v>
      </c>
      <c r="M21" s="9" t="s">
        <v>35</v>
      </c>
      <c r="N21" s="11">
        <f t="array" ref="N21">INDEX(Serie!C:C, MATCH("*" &amp; D21 &amp; "*", Serie!B:B, 0))</f>
        <v>10.91</v>
      </c>
      <c r="O21" s="12">
        <v>3.0092592592592595E-4</v>
      </c>
      <c r="Q21" s="13" t="s">
        <v>122</v>
      </c>
      <c r="R21" s="13" t="s">
        <v>123</v>
      </c>
      <c r="S21" s="13" t="s">
        <v>127</v>
      </c>
      <c r="T21" s="13" t="s">
        <v>35</v>
      </c>
      <c r="U21" s="14">
        <f t="array" ref="U21">INDEX(Film!C:C, MATCH("*" &amp; D21 &amp; "*", Film!B:B, 0))</f>
        <v>13.98</v>
      </c>
      <c r="V21" s="15">
        <v>3.356481481481481E-4</v>
      </c>
      <c r="W21" s="16"/>
    </row>
    <row r="22">
      <c r="A22" s="8">
        <v>99.9</v>
      </c>
      <c r="B22" s="9"/>
      <c r="C22" s="9" t="s">
        <v>128</v>
      </c>
      <c r="D22" s="9" t="s">
        <v>129</v>
      </c>
      <c r="E22" s="19" t="s">
        <v>130</v>
      </c>
      <c r="F22" s="18" t="s">
        <v>82</v>
      </c>
      <c r="G22" s="11">
        <f t="array" ref="G22">INDEX(Adaptatif!C:C, MATCH("*" &amp; D22 &amp; "*", Adaptatif!B:B, 0))</f>
        <v>44.81</v>
      </c>
      <c r="H22" s="12">
        <v>1.388888888888889E-4</v>
      </c>
      <c r="J22" s="9" t="s">
        <v>131</v>
      </c>
      <c r="K22" s="9" t="s">
        <v>129</v>
      </c>
      <c r="L22" s="19" t="s">
        <v>132</v>
      </c>
      <c r="M22" s="18" t="s">
        <v>82</v>
      </c>
      <c r="N22" s="11">
        <f t="array" ref="N22">INDEX(Serie!C:C, MATCH("*" &amp; D22 &amp; "*", Serie!B:B, 0))</f>
        <v>10.75</v>
      </c>
      <c r="O22" s="12">
        <v>1.388888888888889E-4</v>
      </c>
      <c r="Q22" s="13" t="s">
        <v>128</v>
      </c>
      <c r="R22" s="13" t="s">
        <v>129</v>
      </c>
      <c r="S22" s="13" t="s">
        <v>133</v>
      </c>
      <c r="T22" s="18" t="s">
        <v>82</v>
      </c>
      <c r="U22" s="14">
        <f t="array" ref="U22">INDEX(Film!C:C, MATCH("*" &amp; D22 &amp; "*", Film!B:B, 0))</f>
        <v>13.36</v>
      </c>
      <c r="V22" s="15">
        <v>1.273148148148148E-4</v>
      </c>
      <c r="W22" s="16"/>
    </row>
    <row r="23">
      <c r="A23" s="8">
        <v>99.76</v>
      </c>
      <c r="B23" s="9"/>
      <c r="C23" s="9" t="s">
        <v>134</v>
      </c>
      <c r="D23" s="9" t="s">
        <v>135</v>
      </c>
      <c r="E23" s="10" t="s">
        <v>136</v>
      </c>
      <c r="F23" s="9" t="s">
        <v>35</v>
      </c>
      <c r="G23" s="11">
        <f t="array" ref="G23">INDEX(Adaptatif!C:C, MATCH("*" &amp; D23 &amp; "*", Adaptatif!B:B, 0))</f>
        <v>25.79</v>
      </c>
      <c r="H23" s="12">
        <v>1.273148148148148E-4</v>
      </c>
      <c r="J23" s="9" t="s">
        <v>137</v>
      </c>
      <c r="K23" s="9" t="s">
        <v>135</v>
      </c>
      <c r="L23" s="9" t="s">
        <v>138</v>
      </c>
      <c r="M23" s="9" t="s">
        <v>35</v>
      </c>
      <c r="N23" s="11">
        <f t="array" ref="N23">INDEX(Serie!C:C, MATCH("*" &amp; D23 &amp; "*", Serie!B:B, 0))</f>
        <v>10.76</v>
      </c>
      <c r="O23" s="12">
        <v>1.273148148148148E-4</v>
      </c>
      <c r="Q23" s="13" t="s">
        <v>134</v>
      </c>
      <c r="R23" s="13" t="s">
        <v>135</v>
      </c>
      <c r="S23" s="13" t="s">
        <v>139</v>
      </c>
      <c r="T23" s="13" t="s">
        <v>35</v>
      </c>
      <c r="U23" s="14">
        <f t="array" ref="U23">INDEX(Film!C:C, MATCH("*" &amp; D23 &amp; "*", Film!B:B, 0))</f>
        <v>13.73</v>
      </c>
      <c r="V23" s="15">
        <v>1.388888888888889E-4</v>
      </c>
      <c r="W23" s="16"/>
    </row>
    <row r="24">
      <c r="A24" s="8">
        <v>99.72</v>
      </c>
      <c r="B24" s="9"/>
      <c r="C24" s="9" t="s">
        <v>140</v>
      </c>
      <c r="D24" s="9" t="s">
        <v>141</v>
      </c>
      <c r="E24" s="19" t="s">
        <v>142</v>
      </c>
      <c r="F24" s="18" t="s">
        <v>82</v>
      </c>
      <c r="G24" s="11">
        <f t="array" ref="G24">INDEX(Adaptatif!C:C, MATCH("*" &amp; D24 &amp; "*", Adaptatif!B:B, 0))</f>
        <v>45.46</v>
      </c>
      <c r="H24" s="12">
        <v>1.273148148148148E-4</v>
      </c>
      <c r="J24" s="9" t="s">
        <v>143</v>
      </c>
      <c r="K24" s="9" t="s">
        <v>141</v>
      </c>
      <c r="L24" s="19" t="s">
        <v>144</v>
      </c>
      <c r="M24" s="18" t="s">
        <v>82</v>
      </c>
      <c r="N24" s="11">
        <f t="array" ref="N24">INDEX(Serie!C:C, MATCH("*" &amp; D24 &amp; "*", Serie!B:B, 0))</f>
        <v>11.06</v>
      </c>
      <c r="O24" s="12">
        <v>1.273148148148148E-4</v>
      </c>
      <c r="Q24" s="13" t="s">
        <v>140</v>
      </c>
      <c r="R24" s="13" t="s">
        <v>141</v>
      </c>
      <c r="S24" s="13" t="s">
        <v>145</v>
      </c>
      <c r="T24" s="18" t="s">
        <v>82</v>
      </c>
      <c r="U24" s="14">
        <f t="array" ref="U24">INDEX(Film!C:C, MATCH("*" &amp; D24 &amp; "*", Film!B:B, 0))</f>
        <v>14.37</v>
      </c>
      <c r="V24" s="15">
        <v>1.388888888888889E-4</v>
      </c>
      <c r="W24" s="16"/>
    </row>
    <row r="25">
      <c r="A25" s="8">
        <v>98.37</v>
      </c>
      <c r="B25" s="9"/>
      <c r="C25" s="9" t="s">
        <v>146</v>
      </c>
      <c r="D25" s="9" t="s">
        <v>147</v>
      </c>
      <c r="E25" s="19" t="s">
        <v>148</v>
      </c>
      <c r="F25" s="18" t="s">
        <v>82</v>
      </c>
      <c r="G25" s="11">
        <f t="array" ref="G25">INDEX(Adaptatif!C:C, MATCH("*" &amp; D25 &amp; "*", Adaptatif!B:B, 0))</f>
        <v>38.68</v>
      </c>
      <c r="H25" s="12">
        <v>1.273148148148148E-4</v>
      </c>
      <c r="J25" s="9" t="s">
        <v>149</v>
      </c>
      <c r="K25" s="9" t="s">
        <v>147</v>
      </c>
      <c r="L25" s="19" t="s">
        <v>150</v>
      </c>
      <c r="M25" s="18" t="s">
        <v>82</v>
      </c>
      <c r="N25" s="11">
        <f t="array" ref="N25">INDEX(Serie!C:C, MATCH("*" &amp; D25 &amp; "*", Serie!B:B, 0))</f>
        <v>10.69</v>
      </c>
      <c r="O25" s="12">
        <v>1.1574074074074075E-4</v>
      </c>
      <c r="Q25" s="13" t="s">
        <v>146</v>
      </c>
      <c r="R25" s="13" t="s">
        <v>147</v>
      </c>
      <c r="S25" s="13" t="s">
        <v>151</v>
      </c>
      <c r="T25" s="18" t="s">
        <v>82</v>
      </c>
      <c r="U25" s="14">
        <f t="array" ref="U25">INDEX(Film!C:C, MATCH("*" &amp; D25 &amp; "*", Film!B:B, 0))</f>
        <v>13.47</v>
      </c>
      <c r="V25" s="15">
        <v>1.388888888888889E-4</v>
      </c>
      <c r="W25" s="16"/>
    </row>
    <row r="26">
      <c r="A26" s="8">
        <v>97.74</v>
      </c>
      <c r="B26" s="9"/>
      <c r="C26" s="9" t="s">
        <v>152</v>
      </c>
      <c r="D26" s="9" t="s">
        <v>153</v>
      </c>
      <c r="E26" s="10" t="s">
        <v>154</v>
      </c>
      <c r="F26" s="9" t="s">
        <v>35</v>
      </c>
      <c r="G26" s="11">
        <f t="array" ref="G26">INDEX(Adaptatif!C:C, MATCH("*" &amp; D26 &amp; "*", Adaptatif!B:B, 0))</f>
        <v>37.96</v>
      </c>
      <c r="H26" s="12">
        <v>1.388888888888889E-4</v>
      </c>
      <c r="J26" s="9" t="s">
        <v>155</v>
      </c>
      <c r="K26" s="9" t="s">
        <v>153</v>
      </c>
      <c r="L26" s="19" t="s">
        <v>156</v>
      </c>
      <c r="M26" s="18" t="s">
        <v>82</v>
      </c>
      <c r="N26" s="11">
        <f t="array" ref="N26">INDEX(Serie!C:C, MATCH("*" &amp; D26 &amp; "*", Serie!B:B, 0))</f>
        <v>10.69</v>
      </c>
      <c r="O26" s="12">
        <v>1.273148148148148E-4</v>
      </c>
      <c r="Q26" s="13" t="s">
        <v>152</v>
      </c>
      <c r="R26" s="13" t="s">
        <v>153</v>
      </c>
      <c r="S26" s="13" t="s">
        <v>157</v>
      </c>
      <c r="T26" s="13" t="s">
        <v>35</v>
      </c>
      <c r="U26" s="14">
        <f t="array" ref="U26">INDEX(Film!C:C, MATCH("*" &amp; D26 &amp; "*", Film!B:B, 0))</f>
        <v>13.63</v>
      </c>
      <c r="V26" s="15">
        <v>1.388888888888889E-4</v>
      </c>
      <c r="W26" s="16"/>
    </row>
    <row r="27">
      <c r="A27" s="8">
        <v>97.01</v>
      </c>
      <c r="B27" s="9"/>
      <c r="C27" s="9" t="s">
        <v>158</v>
      </c>
      <c r="D27" s="9" t="s">
        <v>159</v>
      </c>
      <c r="E27" s="10" t="s">
        <v>160</v>
      </c>
      <c r="F27" s="9" t="s">
        <v>13</v>
      </c>
      <c r="G27" s="11">
        <f t="array" ref="G27">INDEX(Adaptatif!C:C, MATCH("*" &amp; D27 &amp; "*", Adaptatif!B:B, 0))</f>
        <v>21.48</v>
      </c>
      <c r="H27" s="12">
        <v>3.2407407407407406E-4</v>
      </c>
      <c r="J27" s="9" t="s">
        <v>161</v>
      </c>
      <c r="K27" s="9" t="s">
        <v>159</v>
      </c>
      <c r="L27" s="9" t="s">
        <v>162</v>
      </c>
      <c r="M27" s="9" t="s">
        <v>13</v>
      </c>
      <c r="N27" s="11">
        <f t="array" ref="N27">INDEX(Serie!C:C, MATCH("*" &amp; D27 &amp; "*", Serie!B:B, 0))</f>
        <v>10.18</v>
      </c>
      <c r="O27" s="12">
        <v>3.125E-4</v>
      </c>
      <c r="Q27" s="13" t="s">
        <v>158</v>
      </c>
      <c r="R27" s="13" t="s">
        <v>159</v>
      </c>
      <c r="S27" s="13" t="s">
        <v>60</v>
      </c>
      <c r="T27" s="13" t="s">
        <v>13</v>
      </c>
      <c r="U27" s="14">
        <f t="array" ref="U27">INDEX(Film!C:C, MATCH("*" &amp; D27 &amp; "*", Film!B:B, 0))</f>
        <v>13.04</v>
      </c>
      <c r="V27" s="15">
        <v>3.356481481481481E-4</v>
      </c>
      <c r="W27" s="16"/>
    </row>
    <row r="28">
      <c r="A28" s="8">
        <v>96.92</v>
      </c>
      <c r="B28" s="9"/>
      <c r="C28" s="9" t="s">
        <v>163</v>
      </c>
      <c r="D28" s="9" t="s">
        <v>164</v>
      </c>
      <c r="E28" s="10" t="s">
        <v>165</v>
      </c>
      <c r="F28" s="9" t="s">
        <v>13</v>
      </c>
      <c r="G28" s="11">
        <f t="array" ref="G28">INDEX(Adaptatif!C:C, MATCH("*" &amp; D28 &amp; "*", Adaptatif!B:B, 0))</f>
        <v>10.77</v>
      </c>
      <c r="H28" s="12">
        <v>1.388888888888889E-4</v>
      </c>
      <c r="J28" s="9" t="s">
        <v>166</v>
      </c>
      <c r="K28" s="9" t="s">
        <v>164</v>
      </c>
      <c r="L28" s="9" t="s">
        <v>167</v>
      </c>
      <c r="M28" s="9" t="s">
        <v>13</v>
      </c>
      <c r="N28" s="11">
        <f t="array" ref="N28">INDEX(Serie!C:C, MATCH("*" &amp; D28 &amp; "*", Serie!B:B, 0))</f>
        <v>6.93</v>
      </c>
      <c r="O28" s="12">
        <v>1.273148148148148E-4</v>
      </c>
      <c r="Q28" s="13" t="s">
        <v>163</v>
      </c>
      <c r="R28" s="13" t="s">
        <v>164</v>
      </c>
      <c r="S28" s="13" t="s">
        <v>168</v>
      </c>
      <c r="T28" s="13" t="s">
        <v>13</v>
      </c>
      <c r="U28" s="14">
        <f t="array" ref="U28">INDEX(Film!C:C, MATCH("*" &amp; D28 &amp; "*", Film!B:B, 0))</f>
        <v>8.77</v>
      </c>
      <c r="V28" s="15">
        <v>1.388888888888889E-4</v>
      </c>
      <c r="W28" s="16"/>
    </row>
    <row r="29">
      <c r="A29" s="8">
        <v>95.52</v>
      </c>
      <c r="B29" s="9"/>
      <c r="C29" s="9" t="s">
        <v>169</v>
      </c>
      <c r="D29" s="9" t="s">
        <v>170</v>
      </c>
      <c r="E29" s="10" t="s">
        <v>171</v>
      </c>
      <c r="F29" s="9" t="s">
        <v>35</v>
      </c>
      <c r="G29" s="11">
        <f t="array" ref="G29">INDEX(Adaptatif!C:C, MATCH("*" &amp; D29 &amp; "*", Adaptatif!B:B, 0))</f>
        <v>28.16</v>
      </c>
      <c r="H29" s="12">
        <v>1.273148148148148E-4</v>
      </c>
      <c r="J29" s="9" t="s">
        <v>172</v>
      </c>
      <c r="K29" s="9" t="s">
        <v>170</v>
      </c>
      <c r="L29" s="9" t="s">
        <v>173</v>
      </c>
      <c r="M29" s="9" t="s">
        <v>35</v>
      </c>
      <c r="N29" s="11">
        <f t="array" ref="N29">INDEX(Serie!C:C, MATCH("*" &amp; D29 &amp; "*", Serie!B:B, 0))</f>
        <v>10.72</v>
      </c>
      <c r="O29" s="12">
        <v>1.273148148148148E-4</v>
      </c>
      <c r="Q29" s="13" t="s">
        <v>169</v>
      </c>
      <c r="R29" s="13" t="s">
        <v>170</v>
      </c>
      <c r="S29" s="13" t="s">
        <v>174</v>
      </c>
      <c r="T29" s="13" t="s">
        <v>35</v>
      </c>
      <c r="U29" s="14">
        <f t="array" ref="U29">INDEX(Film!C:C, MATCH("*" &amp; D29 &amp; "*", Film!B:B, 0))</f>
        <v>13.72</v>
      </c>
      <c r="V29" s="15">
        <v>1.273148148148148E-4</v>
      </c>
      <c r="W29" s="16"/>
    </row>
    <row r="30">
      <c r="A30" s="8">
        <v>93.83</v>
      </c>
      <c r="B30" s="9"/>
      <c r="C30" s="9" t="s">
        <v>175</v>
      </c>
      <c r="D30" s="9" t="s">
        <v>176</v>
      </c>
      <c r="E30" s="10" t="s">
        <v>177</v>
      </c>
      <c r="F30" s="9" t="s">
        <v>35</v>
      </c>
      <c r="G30" s="11">
        <f t="array" ref="G30">INDEX(Adaptatif!C:C, MATCH("*" &amp; D30 &amp; "*", Adaptatif!B:B, 0))</f>
        <v>27.45</v>
      </c>
      <c r="H30" s="12">
        <v>1.273148148148148E-4</v>
      </c>
      <c r="J30" s="9" t="s">
        <v>178</v>
      </c>
      <c r="K30" s="9" t="s">
        <v>176</v>
      </c>
      <c r="L30" s="19" t="s">
        <v>179</v>
      </c>
      <c r="M30" s="18" t="s">
        <v>82</v>
      </c>
      <c r="N30" s="11">
        <f t="array" ref="N30">INDEX(Serie!C:C, MATCH("*" &amp; D30 &amp; "*", Serie!B:B, 0))</f>
        <v>10.76</v>
      </c>
      <c r="O30" s="12">
        <v>1.388888888888889E-4</v>
      </c>
      <c r="Q30" s="13" t="s">
        <v>175</v>
      </c>
      <c r="R30" s="13" t="s">
        <v>176</v>
      </c>
      <c r="S30" s="13" t="s">
        <v>180</v>
      </c>
      <c r="T30" s="18" t="s">
        <v>82</v>
      </c>
      <c r="U30" s="14">
        <f t="array" ref="U30">INDEX(Film!C:C, MATCH("*" &amp; D30 &amp; "*", Film!B:B, 0))</f>
        <v>13.72</v>
      </c>
      <c r="V30" s="15">
        <v>1.5046296296296297E-4</v>
      </c>
      <c r="W30" s="16"/>
    </row>
    <row r="31">
      <c r="A31" s="8">
        <v>93.59</v>
      </c>
      <c r="B31" s="9"/>
      <c r="C31" s="9" t="s">
        <v>181</v>
      </c>
      <c r="D31" s="9" t="s">
        <v>182</v>
      </c>
      <c r="E31" s="19" t="s">
        <v>183</v>
      </c>
      <c r="F31" s="18" t="s">
        <v>82</v>
      </c>
      <c r="G31" s="11">
        <f t="array" ref="G31">INDEX(Adaptatif!C:C, MATCH("*" &amp; D31 &amp; "*", Adaptatif!B:B, 0))</f>
        <v>43.98</v>
      </c>
      <c r="H31" s="12">
        <v>1.273148148148148E-4</v>
      </c>
      <c r="J31" s="9" t="s">
        <v>184</v>
      </c>
      <c r="K31" s="9" t="s">
        <v>182</v>
      </c>
      <c r="L31" s="19" t="s">
        <v>185</v>
      </c>
      <c r="M31" s="18" t="s">
        <v>82</v>
      </c>
      <c r="N31" s="11">
        <f t="array" ref="N31">INDEX(Serie!C:C, MATCH("*" &amp; D31 &amp; "*", Serie!B:B, 0))</f>
        <v>10.78</v>
      </c>
      <c r="O31" s="12">
        <v>1.273148148148148E-4</v>
      </c>
      <c r="Q31" s="13" t="s">
        <v>181</v>
      </c>
      <c r="R31" s="13" t="s">
        <v>182</v>
      </c>
      <c r="S31" s="13" t="s">
        <v>186</v>
      </c>
      <c r="T31" s="18" t="s">
        <v>82</v>
      </c>
      <c r="U31" s="14">
        <f t="array" ref="U31">INDEX(Film!C:C, MATCH("*" &amp; D31 &amp; "*", Film!B:B, 0))</f>
        <v>14.14</v>
      </c>
      <c r="V31" s="15">
        <v>1.388888888888889E-4</v>
      </c>
      <c r="W31" s="16"/>
    </row>
    <row r="32">
      <c r="A32" s="8">
        <v>93.43</v>
      </c>
      <c r="B32" s="9"/>
      <c r="C32" s="9" t="s">
        <v>187</v>
      </c>
      <c r="D32" s="9" t="s">
        <v>188</v>
      </c>
      <c r="E32" s="10" t="s">
        <v>189</v>
      </c>
      <c r="F32" s="9" t="s">
        <v>35</v>
      </c>
      <c r="G32" s="11">
        <f t="array" ref="G32">INDEX(Adaptatif!C:C, MATCH("*" &amp; D32 &amp; "*", Adaptatif!B:B, 0))</f>
        <v>32.07</v>
      </c>
      <c r="H32" s="12">
        <v>1.273148148148148E-4</v>
      </c>
      <c r="J32" s="9" t="s">
        <v>190</v>
      </c>
      <c r="K32" s="9" t="s">
        <v>188</v>
      </c>
      <c r="L32" s="9" t="s">
        <v>191</v>
      </c>
      <c r="M32" s="9" t="s">
        <v>35</v>
      </c>
      <c r="N32" s="11">
        <f t="array" ref="N32">INDEX(Serie!C:C, MATCH("*" &amp; D32 &amp; "*", Serie!B:B, 0))</f>
        <v>9.53</v>
      </c>
      <c r="O32" s="12">
        <v>1.273148148148148E-4</v>
      </c>
      <c r="Q32" s="13" t="s">
        <v>187</v>
      </c>
      <c r="R32" s="13" t="s">
        <v>188</v>
      </c>
      <c r="S32" s="13" t="s">
        <v>192</v>
      </c>
      <c r="T32" s="13" t="s">
        <v>35</v>
      </c>
      <c r="U32" s="14">
        <f t="array" ref="U32">INDEX(Film!C:C, MATCH("*" &amp; D32 &amp; "*", Film!B:B, 0))</f>
        <v>12.64</v>
      </c>
      <c r="V32" s="15">
        <v>1.5046296296296297E-4</v>
      </c>
      <c r="W32" s="16"/>
    </row>
    <row r="33">
      <c r="A33" s="8">
        <v>93.08</v>
      </c>
      <c r="B33" s="9"/>
      <c r="C33" s="9" t="s">
        <v>193</v>
      </c>
      <c r="D33" s="9" t="s">
        <v>194</v>
      </c>
      <c r="E33" s="19" t="s">
        <v>195</v>
      </c>
      <c r="F33" s="18" t="s">
        <v>82</v>
      </c>
      <c r="G33" s="11">
        <f t="array" ref="G33">INDEX(Adaptatif!C:C, MATCH("*" &amp; D33 &amp; "*", Adaptatif!B:B, 0))</f>
        <v>54.72</v>
      </c>
      <c r="H33" s="12">
        <v>1.388888888888889E-4</v>
      </c>
      <c r="J33" s="9" t="s">
        <v>196</v>
      </c>
      <c r="K33" s="9" t="s">
        <v>194</v>
      </c>
      <c r="L33" s="19" t="s">
        <v>197</v>
      </c>
      <c r="M33" s="18" t="s">
        <v>82</v>
      </c>
      <c r="N33" s="11">
        <f t="array" ref="N33">INDEX(Serie!C:C, MATCH("*" &amp; D33 &amp; "*", Serie!B:B, 0))</f>
        <v>10.7</v>
      </c>
      <c r="O33" s="12">
        <v>1.273148148148148E-4</v>
      </c>
      <c r="Q33" s="13" t="s">
        <v>193</v>
      </c>
      <c r="R33" s="13" t="s">
        <v>194</v>
      </c>
      <c r="S33" s="13" t="s">
        <v>198</v>
      </c>
      <c r="T33" s="18" t="s">
        <v>82</v>
      </c>
      <c r="U33" s="14">
        <f t="array" ref="U33">INDEX(Film!C:C, MATCH("*" &amp; D33 &amp; "*", Film!B:B, 0))</f>
        <v>13.59</v>
      </c>
      <c r="V33" s="15">
        <v>1.5046296296296297E-4</v>
      </c>
      <c r="W33" s="16"/>
    </row>
    <row r="34">
      <c r="A34" s="8">
        <v>92.97</v>
      </c>
      <c r="B34" s="9"/>
      <c r="C34" s="9" t="s">
        <v>199</v>
      </c>
      <c r="D34" s="9" t="s">
        <v>200</v>
      </c>
      <c r="E34" s="10" t="s">
        <v>201</v>
      </c>
      <c r="F34" s="9" t="s">
        <v>35</v>
      </c>
      <c r="G34" s="11">
        <f t="array" ref="G34">INDEX(Adaptatif!C:C, MATCH("*" &amp; D34 &amp; "*", Adaptatif!B:B, 0))</f>
        <v>25.19</v>
      </c>
      <c r="H34" s="12">
        <v>1.273148148148148E-4</v>
      </c>
      <c r="J34" s="9" t="s">
        <v>202</v>
      </c>
      <c r="K34" s="9" t="s">
        <v>200</v>
      </c>
      <c r="L34" s="9" t="s">
        <v>203</v>
      </c>
      <c r="M34" s="9" t="s">
        <v>35</v>
      </c>
      <c r="N34" s="11">
        <f t="array" ref="N34">INDEX(Serie!C:C, MATCH("*" &amp; D34 &amp; "*", Serie!B:B, 0))</f>
        <v>9.9</v>
      </c>
      <c r="O34" s="12">
        <v>1.273148148148148E-4</v>
      </c>
      <c r="Q34" s="13" t="s">
        <v>199</v>
      </c>
      <c r="R34" s="13" t="s">
        <v>200</v>
      </c>
      <c r="S34" s="13" t="s">
        <v>204</v>
      </c>
      <c r="T34" s="13" t="s">
        <v>35</v>
      </c>
      <c r="U34" s="14">
        <f t="array" ref="U34">INDEX(Film!C:C, MATCH("*" &amp; D34 &amp; "*", Film!B:B, 0))</f>
        <v>12.13</v>
      </c>
      <c r="V34" s="15">
        <v>1.388888888888889E-4</v>
      </c>
      <c r="W34" s="16"/>
    </row>
    <row r="35">
      <c r="A35" s="8">
        <v>92.85</v>
      </c>
      <c r="B35" s="9"/>
      <c r="C35" s="9" t="s">
        <v>205</v>
      </c>
      <c r="D35" s="9" t="s">
        <v>206</v>
      </c>
      <c r="E35" s="19" t="s">
        <v>207</v>
      </c>
      <c r="F35" s="18" t="s">
        <v>82</v>
      </c>
      <c r="G35" s="11">
        <f t="array" ref="G35">INDEX(Adaptatif!C:C, MATCH("*" &amp; D35 &amp; "*", Adaptatif!B:B, 0))</f>
        <v>42.38</v>
      </c>
      <c r="H35" s="12">
        <v>1.273148148148148E-4</v>
      </c>
      <c r="J35" s="9" t="s">
        <v>208</v>
      </c>
      <c r="K35" s="9" t="s">
        <v>206</v>
      </c>
      <c r="L35" s="19" t="s">
        <v>209</v>
      </c>
      <c r="M35" s="18" t="s">
        <v>82</v>
      </c>
      <c r="N35" s="11">
        <f t="array" ref="N35">INDEX(Serie!C:C, MATCH("*" &amp; D35 &amp; "*", Serie!B:B, 0))</f>
        <v>10.63</v>
      </c>
      <c r="O35" s="12">
        <v>1.273148148148148E-4</v>
      </c>
      <c r="Q35" s="13" t="s">
        <v>205</v>
      </c>
      <c r="R35" s="13" t="s">
        <v>206</v>
      </c>
      <c r="S35" s="13" t="s">
        <v>210</v>
      </c>
      <c r="T35" s="13" t="s">
        <v>82</v>
      </c>
      <c r="U35" s="14">
        <f t="array" ref="U35">INDEX(Film!C:C, MATCH("*" &amp; D35 &amp; "*", Film!B:B, 0))</f>
        <v>13.55</v>
      </c>
      <c r="V35" s="15">
        <v>1.5046296296296297E-4</v>
      </c>
      <c r="W35" s="16"/>
    </row>
    <row r="36">
      <c r="A36" s="8">
        <v>91.71</v>
      </c>
      <c r="B36" s="9"/>
      <c r="C36" s="9" t="s">
        <v>211</v>
      </c>
      <c r="D36" s="9" t="s">
        <v>212</v>
      </c>
      <c r="E36" s="10" t="s">
        <v>213</v>
      </c>
      <c r="F36" s="9" t="s">
        <v>35</v>
      </c>
      <c r="G36" s="11">
        <f t="array" ref="G36">INDEX(Adaptatif!C:C, MATCH("*" &amp; D36 &amp; "*", Adaptatif!B:B, 0))</f>
        <v>37.88</v>
      </c>
      <c r="H36" s="12">
        <v>1.273148148148148E-4</v>
      </c>
      <c r="J36" s="9" t="s">
        <v>214</v>
      </c>
      <c r="K36" s="9" t="s">
        <v>212</v>
      </c>
      <c r="L36" s="9" t="s">
        <v>215</v>
      </c>
      <c r="M36" s="9" t="s">
        <v>35</v>
      </c>
      <c r="N36" s="11">
        <f t="array" ref="N36">INDEX(Serie!C:C, MATCH("*" &amp; D36 &amp; "*", Serie!B:B, 0))</f>
        <v>10.39</v>
      </c>
      <c r="O36" s="12">
        <v>1.273148148148148E-4</v>
      </c>
      <c r="Q36" s="13" t="s">
        <v>211</v>
      </c>
      <c r="R36" s="13" t="s">
        <v>212</v>
      </c>
      <c r="S36" s="13" t="s">
        <v>138</v>
      </c>
      <c r="T36" s="13" t="s">
        <v>35</v>
      </c>
      <c r="U36" s="14">
        <f t="array" ref="U36">INDEX(Film!C:C, MATCH("*" &amp; D36 &amp; "*", Film!B:B, 0))</f>
        <v>14.42</v>
      </c>
      <c r="V36" s="15">
        <v>1.388888888888889E-4</v>
      </c>
      <c r="W36" s="16"/>
    </row>
    <row r="37">
      <c r="A37" s="8">
        <v>90.75</v>
      </c>
      <c r="B37" s="9"/>
      <c r="C37" s="9" t="s">
        <v>216</v>
      </c>
      <c r="D37" s="9" t="s">
        <v>217</v>
      </c>
      <c r="E37" s="10" t="s">
        <v>218</v>
      </c>
      <c r="F37" s="9" t="s">
        <v>16</v>
      </c>
      <c r="G37" s="11">
        <f t="array" ref="G37">INDEX(Adaptatif!C:C, MATCH("*" &amp; D37 &amp; "*", Adaptatif!B:B, 0))</f>
        <v>16.89</v>
      </c>
      <c r="H37" s="12">
        <v>1.273148148148148E-4</v>
      </c>
      <c r="J37" s="9" t="s">
        <v>219</v>
      </c>
      <c r="K37" s="9" t="s">
        <v>217</v>
      </c>
      <c r="L37" s="9" t="s">
        <v>220</v>
      </c>
      <c r="M37" s="9" t="s">
        <v>16</v>
      </c>
      <c r="N37" s="11">
        <f t="array" ref="N37">INDEX(Serie!C:C, MATCH("*" &amp; D37 &amp; "*", Serie!B:B, 0))</f>
        <v>9.68</v>
      </c>
      <c r="O37" s="12">
        <v>1.273148148148148E-4</v>
      </c>
      <c r="Q37" s="13" t="s">
        <v>216</v>
      </c>
      <c r="R37" s="13" t="s">
        <v>217</v>
      </c>
      <c r="S37" s="13" t="s">
        <v>221</v>
      </c>
      <c r="T37" s="13" t="s">
        <v>16</v>
      </c>
      <c r="U37" s="14">
        <f t="array" ref="U37">INDEX(Film!C:C, MATCH("*" &amp; D37 &amp; "*", Film!B:B, 0))</f>
        <v>11.77</v>
      </c>
      <c r="V37" s="15">
        <v>1.388888888888889E-4</v>
      </c>
      <c r="W37" s="16"/>
    </row>
    <row r="38">
      <c r="A38" s="8">
        <v>90.51</v>
      </c>
      <c r="B38" s="9"/>
      <c r="C38" s="9" t="s">
        <v>222</v>
      </c>
      <c r="D38" s="9" t="s">
        <v>223</v>
      </c>
      <c r="E38" s="10" t="s">
        <v>224</v>
      </c>
      <c r="F38" s="9" t="s">
        <v>35</v>
      </c>
      <c r="G38" s="11">
        <f t="array" ref="G38">INDEX(Adaptatif!C:C, MATCH("*" &amp; D38 &amp; "*", Adaptatif!B:B, 0))</f>
        <v>20.77</v>
      </c>
      <c r="H38" s="12">
        <v>1.388888888888889E-4</v>
      </c>
      <c r="J38" s="9" t="s">
        <v>225</v>
      </c>
      <c r="K38" s="9" t="s">
        <v>223</v>
      </c>
      <c r="L38" s="9" t="s">
        <v>226</v>
      </c>
      <c r="M38" s="9" t="s">
        <v>35</v>
      </c>
      <c r="N38" s="11">
        <f t="array" ref="N38">INDEX(Serie!C:C, MATCH("*" &amp; D38 &amp; "*", Serie!B:B, 0))</f>
        <v>10.93</v>
      </c>
      <c r="O38" s="12">
        <v>1.1574074074074075E-4</v>
      </c>
      <c r="Q38" s="13" t="s">
        <v>222</v>
      </c>
      <c r="R38" s="13" t="s">
        <v>223</v>
      </c>
      <c r="S38" s="13" t="s">
        <v>227</v>
      </c>
      <c r="T38" s="13" t="s">
        <v>35</v>
      </c>
      <c r="U38" s="14">
        <f t="array" ref="U38">INDEX(Film!C:C, MATCH("*" &amp; D38 &amp; "*", Film!B:B, 0))</f>
        <v>13.56</v>
      </c>
      <c r="V38" s="15">
        <v>1.388888888888889E-4</v>
      </c>
      <c r="W38" s="16"/>
    </row>
    <row r="39">
      <c r="A39" s="8">
        <v>90.31</v>
      </c>
      <c r="B39" s="9"/>
      <c r="C39" s="9" t="s">
        <v>228</v>
      </c>
      <c r="D39" s="9" t="s">
        <v>229</v>
      </c>
      <c r="E39" s="10" t="s">
        <v>230</v>
      </c>
      <c r="F39" s="9" t="s">
        <v>35</v>
      </c>
      <c r="G39" s="11">
        <f t="array" ref="G39">INDEX(Adaptatif!C:C, MATCH("*" &amp; D39 &amp; "*", Adaptatif!B:B, 0))</f>
        <v>19.4</v>
      </c>
      <c r="H39" s="12">
        <v>1.273148148148148E-4</v>
      </c>
      <c r="J39" s="9" t="s">
        <v>231</v>
      </c>
      <c r="K39" s="9" t="s">
        <v>229</v>
      </c>
      <c r="L39" s="9" t="s">
        <v>232</v>
      </c>
      <c r="M39" s="9" t="s">
        <v>35</v>
      </c>
      <c r="N39" s="11">
        <f t="array" ref="N39">INDEX(Serie!C:C, MATCH("*" &amp; D39 &amp; "*", Serie!B:B, 0))</f>
        <v>10.43</v>
      </c>
      <c r="O39" s="12">
        <v>1.273148148148148E-4</v>
      </c>
      <c r="Q39" s="13" t="s">
        <v>228</v>
      </c>
      <c r="R39" s="13" t="s">
        <v>229</v>
      </c>
      <c r="S39" s="13" t="s">
        <v>233</v>
      </c>
      <c r="T39" s="13" t="s">
        <v>35</v>
      </c>
      <c r="U39" s="14">
        <f t="array" ref="U39">INDEX(Film!C:C, MATCH("*" &amp; D39 &amp; "*", Film!B:B, 0))</f>
        <v>13.07</v>
      </c>
      <c r="V39" s="15">
        <v>1.5046296296296297E-4</v>
      </c>
      <c r="W39" s="16"/>
    </row>
    <row r="40">
      <c r="A40" s="8">
        <v>90.28</v>
      </c>
      <c r="B40" s="9"/>
      <c r="C40" s="9" t="s">
        <v>234</v>
      </c>
      <c r="D40" s="9" t="s">
        <v>235</v>
      </c>
      <c r="E40" s="10" t="s">
        <v>213</v>
      </c>
      <c r="F40" s="9" t="s">
        <v>35</v>
      </c>
      <c r="G40" s="11">
        <f t="array" ref="G40">INDEX(Adaptatif!C:C, MATCH("*" &amp; D40 &amp; "*", Adaptatif!B:B, 0))</f>
        <v>17.8</v>
      </c>
      <c r="H40" s="12">
        <v>1.273148148148148E-4</v>
      </c>
      <c r="J40" s="9" t="s">
        <v>236</v>
      </c>
      <c r="K40" s="9" t="s">
        <v>235</v>
      </c>
      <c r="L40" s="9" t="s">
        <v>237</v>
      </c>
      <c r="M40" s="9" t="s">
        <v>35</v>
      </c>
      <c r="N40" s="11">
        <f t="array" ref="N40">INDEX(Serie!C:C, MATCH("*" &amp; D40 &amp; "*", Serie!B:B, 0))</f>
        <v>10.35</v>
      </c>
      <c r="O40" s="12">
        <v>1.273148148148148E-4</v>
      </c>
      <c r="Q40" s="13" t="s">
        <v>234</v>
      </c>
      <c r="R40" s="13" t="s">
        <v>235</v>
      </c>
      <c r="S40" s="13" t="s">
        <v>238</v>
      </c>
      <c r="T40" s="13" t="s">
        <v>35</v>
      </c>
      <c r="U40" s="14">
        <f t="array" ref="U40">INDEX(Film!C:C, MATCH("*" &amp; D40 &amp; "*", Film!B:B, 0))</f>
        <v>12.46</v>
      </c>
      <c r="V40" s="15">
        <v>1.5046296296296297E-4</v>
      </c>
      <c r="W40" s="16"/>
    </row>
    <row r="41">
      <c r="A41" s="8">
        <v>90.11</v>
      </c>
      <c r="B41" s="9"/>
      <c r="C41" s="9" t="s">
        <v>239</v>
      </c>
      <c r="D41" s="9" t="s">
        <v>240</v>
      </c>
      <c r="E41" s="10" t="s">
        <v>241</v>
      </c>
      <c r="F41" s="9" t="s">
        <v>16</v>
      </c>
      <c r="G41" s="11">
        <f t="array" ref="G41">INDEX(Adaptatif!C:C, MATCH("*" &amp; D41 &amp; "*", Adaptatif!B:B, 0))</f>
        <v>17.38</v>
      </c>
      <c r="H41" s="12">
        <v>1.273148148148148E-4</v>
      </c>
      <c r="J41" s="9" t="s">
        <v>242</v>
      </c>
      <c r="K41" s="9" t="s">
        <v>240</v>
      </c>
      <c r="L41" s="9" t="s">
        <v>243</v>
      </c>
      <c r="M41" s="9" t="s">
        <v>35</v>
      </c>
      <c r="N41" s="11">
        <f t="array" ref="N41">INDEX(Serie!C:C, MATCH("*" &amp; D41 &amp; "*", Serie!B:B, 0))</f>
        <v>10.31</v>
      </c>
      <c r="O41" s="12">
        <v>1.273148148148148E-4</v>
      </c>
      <c r="Q41" s="13" t="s">
        <v>239</v>
      </c>
      <c r="R41" s="13" t="s">
        <v>240</v>
      </c>
      <c r="S41" s="13" t="s">
        <v>244</v>
      </c>
      <c r="T41" s="13" t="s">
        <v>35</v>
      </c>
      <c r="U41" s="14">
        <f t="array" ref="U41">INDEX(Film!C:C, MATCH("*" &amp; D41 &amp; "*", Film!B:B, 0))</f>
        <v>12.57</v>
      </c>
      <c r="V41" s="15">
        <v>1.5046296296296297E-4</v>
      </c>
      <c r="W41" s="16"/>
    </row>
    <row r="42">
      <c r="A42" s="8">
        <v>89.29</v>
      </c>
      <c r="B42" s="9"/>
      <c r="C42" s="9" t="s">
        <v>245</v>
      </c>
      <c r="D42" s="9" t="s">
        <v>246</v>
      </c>
      <c r="E42" s="10" t="s">
        <v>247</v>
      </c>
      <c r="F42" s="9" t="s">
        <v>35</v>
      </c>
      <c r="G42" s="11">
        <f t="array" ref="G42">INDEX(Adaptatif!C:C, MATCH("*" &amp; D42 &amp; "*", Adaptatif!B:B, 0))</f>
        <v>53.11</v>
      </c>
      <c r="H42" s="12">
        <v>1.273148148148148E-4</v>
      </c>
      <c r="J42" s="9" t="s">
        <v>248</v>
      </c>
      <c r="K42" s="9" t="s">
        <v>246</v>
      </c>
      <c r="L42" s="19" t="s">
        <v>249</v>
      </c>
      <c r="M42" s="18" t="s">
        <v>82</v>
      </c>
      <c r="N42" s="11">
        <f t="array" ref="N42">INDEX(Serie!C:C, MATCH("*" &amp; D42 &amp; "*", Serie!B:B, 0))</f>
        <v>9.79</v>
      </c>
      <c r="O42" s="12">
        <v>1.273148148148148E-4</v>
      </c>
      <c r="Q42" s="13" t="s">
        <v>245</v>
      </c>
      <c r="R42" s="13" t="s">
        <v>246</v>
      </c>
      <c r="S42" s="13" t="s">
        <v>250</v>
      </c>
      <c r="T42" s="13" t="s">
        <v>35</v>
      </c>
      <c r="U42" s="14">
        <f t="array" ref="U42">INDEX(Film!C:C, MATCH("*" &amp; D42 &amp; "*", Film!B:B, 0))</f>
        <v>13.1</v>
      </c>
      <c r="V42" s="15">
        <v>1.5046296296296297E-4</v>
      </c>
      <c r="W42" s="16"/>
    </row>
    <row r="43">
      <c r="A43" s="8">
        <v>87.71</v>
      </c>
      <c r="B43" s="9"/>
      <c r="C43" s="9" t="s">
        <v>251</v>
      </c>
      <c r="D43" s="9" t="s">
        <v>252</v>
      </c>
      <c r="E43" s="10" t="s">
        <v>253</v>
      </c>
      <c r="F43" s="9" t="s">
        <v>16</v>
      </c>
      <c r="G43" s="11">
        <f t="array" ref="G43">INDEX(Adaptatif!C:C, MATCH("*" &amp; D43 &amp; "*", Adaptatif!B:B, 0))</f>
        <v>54.84</v>
      </c>
      <c r="H43" s="12">
        <v>2.662037037037037E-4</v>
      </c>
      <c r="J43" s="9" t="s">
        <v>254</v>
      </c>
      <c r="K43" s="9" t="s">
        <v>252</v>
      </c>
      <c r="L43" s="9" t="s">
        <v>255</v>
      </c>
      <c r="M43" s="9" t="s">
        <v>35</v>
      </c>
      <c r="N43" s="11">
        <f t="array" ref="N43">INDEX(Serie!C:C, MATCH("*" &amp; D43 &amp; "*", Serie!B:B, 0))</f>
        <v>10.9</v>
      </c>
      <c r="O43" s="12">
        <v>2.662037037037037E-4</v>
      </c>
      <c r="Q43" s="13" t="s">
        <v>251</v>
      </c>
      <c r="R43" s="13" t="s">
        <v>252</v>
      </c>
      <c r="S43" s="13" t="s">
        <v>256</v>
      </c>
      <c r="T43" s="13" t="s">
        <v>35</v>
      </c>
      <c r="U43" s="14">
        <f t="array" ref="U43">INDEX(Film!C:C, MATCH("*" &amp; D43 &amp; "*", Film!B:B, 0))</f>
        <v>13.81</v>
      </c>
      <c r="V43" s="15">
        <v>3.2407407407407406E-4</v>
      </c>
      <c r="W43" s="16"/>
    </row>
    <row r="44">
      <c r="A44" s="8">
        <v>87.7</v>
      </c>
      <c r="B44" s="9"/>
      <c r="C44" s="9" t="s">
        <v>257</v>
      </c>
      <c r="D44" s="9" t="s">
        <v>258</v>
      </c>
      <c r="E44" s="10" t="s">
        <v>259</v>
      </c>
      <c r="F44" s="9" t="s">
        <v>16</v>
      </c>
      <c r="G44" s="11">
        <f t="array" ref="G44">INDEX(Adaptatif!C:C, MATCH("*" &amp; D44 &amp; "*", Adaptatif!B:B, 0))</f>
        <v>53.36</v>
      </c>
      <c r="H44" s="12">
        <v>2.546296296296296E-4</v>
      </c>
      <c r="J44" s="9" t="s">
        <v>260</v>
      </c>
      <c r="K44" s="9" t="s">
        <v>258</v>
      </c>
      <c r="L44" s="9" t="s">
        <v>261</v>
      </c>
      <c r="M44" s="9" t="s">
        <v>16</v>
      </c>
      <c r="N44" s="11">
        <f t="array" ref="N44">INDEX(Serie!C:C, MATCH("*" &amp; D44 &amp; "*", Serie!B:B, 0))</f>
        <v>10.63</v>
      </c>
      <c r="O44" s="12">
        <v>2.546296296296296E-4</v>
      </c>
      <c r="Q44" s="13" t="s">
        <v>257</v>
      </c>
      <c r="R44" s="13" t="s">
        <v>258</v>
      </c>
      <c r="S44" s="13" t="s">
        <v>262</v>
      </c>
      <c r="T44" s="13" t="s">
        <v>16</v>
      </c>
      <c r="U44" s="14">
        <f t="array" ref="U44">INDEX(Film!C:C, MATCH("*" &amp; D44 &amp; "*", Film!B:B, 0))</f>
        <v>13.41</v>
      </c>
      <c r="V44" s="15">
        <v>3.2407407407407406E-4</v>
      </c>
      <c r="W44" s="16"/>
    </row>
    <row r="45">
      <c r="A45" s="8">
        <v>87.12</v>
      </c>
      <c r="B45" s="9"/>
      <c r="C45" s="9" t="s">
        <v>263</v>
      </c>
      <c r="D45" s="9" t="s">
        <v>264</v>
      </c>
      <c r="E45" s="10" t="s">
        <v>265</v>
      </c>
      <c r="F45" s="9" t="s">
        <v>16</v>
      </c>
      <c r="G45" s="11">
        <f t="array" ref="G45">INDEX(Adaptatif!C:C, MATCH("*" &amp; D45 &amp; "*", Adaptatif!B:B, 0))</f>
        <v>45.37</v>
      </c>
      <c r="H45" s="12">
        <v>2.662037037037037E-4</v>
      </c>
      <c r="J45" s="9" t="s">
        <v>266</v>
      </c>
      <c r="K45" s="9" t="s">
        <v>264</v>
      </c>
      <c r="L45" s="9" t="s">
        <v>267</v>
      </c>
      <c r="M45" s="9" t="s">
        <v>35</v>
      </c>
      <c r="N45" s="11">
        <f t="array" ref="N45">INDEX(Serie!C:C, MATCH("*" &amp; D45 &amp; "*", Serie!B:B, 0))</f>
        <v>10.33</v>
      </c>
      <c r="O45" s="12">
        <v>2.546296296296296E-4</v>
      </c>
      <c r="Q45" s="13" t="s">
        <v>263</v>
      </c>
      <c r="R45" s="13" t="s">
        <v>264</v>
      </c>
      <c r="S45" s="13" t="s">
        <v>268</v>
      </c>
      <c r="T45" s="13" t="s">
        <v>35</v>
      </c>
      <c r="U45" s="14">
        <f t="array" ref="U45">INDEX(Film!C:C, MATCH("*" &amp; D45 &amp; "*", Film!B:B, 0))</f>
        <v>12.67</v>
      </c>
      <c r="V45" s="15">
        <v>3.125E-4</v>
      </c>
      <c r="W45" s="16"/>
    </row>
    <row r="46">
      <c r="A46" s="8">
        <v>86.99</v>
      </c>
      <c r="B46" s="9"/>
      <c r="C46" s="9" t="s">
        <v>269</v>
      </c>
      <c r="D46" s="9" t="s">
        <v>270</v>
      </c>
      <c r="E46" s="10" t="s">
        <v>271</v>
      </c>
      <c r="F46" s="9" t="s">
        <v>16</v>
      </c>
      <c r="G46" s="11">
        <f t="array" ref="G46">INDEX(Adaptatif!C:C, MATCH("*" &amp; D46 &amp; "*", Adaptatif!B:B, 0))</f>
        <v>50.35</v>
      </c>
      <c r="H46" s="12">
        <v>2.662037037037037E-4</v>
      </c>
      <c r="J46" s="9" t="s">
        <v>272</v>
      </c>
      <c r="K46" s="9" t="s">
        <v>270</v>
      </c>
      <c r="L46" s="9" t="s">
        <v>273</v>
      </c>
      <c r="M46" s="9" t="s">
        <v>16</v>
      </c>
      <c r="N46" s="11">
        <f t="array" ref="N46">INDEX(Serie!C:C, MATCH("*" &amp; D46 &amp; "*", Serie!B:B, 0))</f>
        <v>10.61</v>
      </c>
      <c r="O46" s="12">
        <v>2.546296296296296E-4</v>
      </c>
      <c r="Q46" s="13" t="s">
        <v>269</v>
      </c>
      <c r="R46" s="13" t="s">
        <v>270</v>
      </c>
      <c r="S46" s="13" t="s">
        <v>274</v>
      </c>
      <c r="T46" s="13" t="s">
        <v>16</v>
      </c>
      <c r="U46" s="14">
        <f t="array" ref="U46">INDEX(Film!C:C, MATCH("*" &amp; D46 &amp; "*", Film!B:B, 0))</f>
        <v>13.07</v>
      </c>
      <c r="V46" s="15">
        <v>3.2407407407407406E-4</v>
      </c>
      <c r="W46" s="16"/>
    </row>
    <row r="47">
      <c r="A47" s="8">
        <v>85.67</v>
      </c>
      <c r="B47" s="9"/>
      <c r="C47" s="9" t="s">
        <v>275</v>
      </c>
      <c r="D47" s="9" t="s">
        <v>276</v>
      </c>
      <c r="E47" s="10" t="s">
        <v>277</v>
      </c>
      <c r="F47" s="9" t="s">
        <v>16</v>
      </c>
      <c r="G47" s="11">
        <f t="array" ref="G47">INDEX(Adaptatif!C:C, MATCH("*" &amp; D47 &amp; "*", Adaptatif!B:B, 0))</f>
        <v>53.57</v>
      </c>
      <c r="H47" s="12">
        <v>2.662037037037037E-4</v>
      </c>
      <c r="J47" s="9" t="s">
        <v>278</v>
      </c>
      <c r="K47" s="9" t="s">
        <v>276</v>
      </c>
      <c r="L47" s="9" t="s">
        <v>273</v>
      </c>
      <c r="M47" s="9" t="s">
        <v>16</v>
      </c>
      <c r="N47" s="11">
        <f t="array" ref="N47">INDEX(Serie!C:C, MATCH("*" &amp; D47 &amp; "*", Serie!B:B, 0))</f>
        <v>11.03</v>
      </c>
      <c r="O47" s="12">
        <v>2.546296296296296E-4</v>
      </c>
      <c r="Q47" s="13" t="s">
        <v>275</v>
      </c>
      <c r="R47" s="13" t="s">
        <v>276</v>
      </c>
      <c r="S47" s="13" t="s">
        <v>279</v>
      </c>
      <c r="T47" s="13" t="s">
        <v>16</v>
      </c>
      <c r="U47" s="14">
        <f t="array" ref="U47">INDEX(Film!C:C, MATCH("*" &amp; D47 &amp; "*", Film!B:B, 0))</f>
        <v>13.67</v>
      </c>
      <c r="V47" s="15">
        <v>3.125E-4</v>
      </c>
      <c r="W47" s="16"/>
    </row>
    <row r="48">
      <c r="A48" s="8">
        <v>82.92</v>
      </c>
      <c r="B48" s="9"/>
      <c r="C48" s="9" t="s">
        <v>280</v>
      </c>
      <c r="D48" s="9" t="s">
        <v>281</v>
      </c>
      <c r="E48" s="10" t="s">
        <v>282</v>
      </c>
      <c r="F48" s="9" t="s">
        <v>13</v>
      </c>
      <c r="G48" s="11">
        <f t="array" ref="G48">INDEX(Adaptatif!C:C, MATCH("*" &amp; D48 &amp; "*", Adaptatif!B:B, 0))</f>
        <v>38.16</v>
      </c>
      <c r="H48" s="12">
        <v>2.662037037037037E-4</v>
      </c>
      <c r="J48" s="9" t="s">
        <v>283</v>
      </c>
      <c r="K48" s="9" t="s">
        <v>281</v>
      </c>
      <c r="L48" s="9" t="s">
        <v>284</v>
      </c>
      <c r="M48" s="9" t="s">
        <v>16</v>
      </c>
      <c r="N48" s="11">
        <f t="array" ref="N48">INDEX(Serie!C:C, MATCH("*" &amp; D48 &amp; "*", Serie!B:B, 0))</f>
        <v>10.84</v>
      </c>
      <c r="O48" s="12">
        <v>2.4305555555555555E-4</v>
      </c>
      <c r="Q48" s="13" t="s">
        <v>280</v>
      </c>
      <c r="R48" s="13" t="s">
        <v>281</v>
      </c>
      <c r="S48" s="13" t="s">
        <v>285</v>
      </c>
      <c r="T48" s="13" t="s">
        <v>16</v>
      </c>
      <c r="U48" s="14">
        <f t="array" ref="U48">INDEX(Film!C:C, MATCH("*" &amp; D48 &amp; "*", Film!B:B, 0))</f>
        <v>13.86</v>
      </c>
      <c r="V48" s="15">
        <v>2.8935185185185184E-4</v>
      </c>
      <c r="W48" s="16"/>
    </row>
    <row r="49">
      <c r="A49" s="8">
        <v>81.22</v>
      </c>
      <c r="B49" s="9"/>
      <c r="C49" s="9" t="s">
        <v>286</v>
      </c>
      <c r="D49" s="9" t="s">
        <v>287</v>
      </c>
      <c r="E49" s="10" t="s">
        <v>288</v>
      </c>
      <c r="F49" s="9" t="s">
        <v>35</v>
      </c>
      <c r="G49" s="11">
        <f t="array" ref="G49">INDEX(Adaptatif!C:C, MATCH("*" &amp; D49 &amp; "*", Adaptatif!B:B, 0))</f>
        <v>21.64</v>
      </c>
      <c r="H49" s="12">
        <v>1.273148148148148E-4</v>
      </c>
      <c r="J49" s="9" t="s">
        <v>289</v>
      </c>
      <c r="K49" s="9" t="s">
        <v>287</v>
      </c>
      <c r="L49" s="9" t="s">
        <v>290</v>
      </c>
      <c r="M49" s="9" t="s">
        <v>35</v>
      </c>
      <c r="N49" s="11">
        <f t="array" ref="N49">INDEX(Serie!C:C, MATCH("*" &amp; D49 &amp; "*", Serie!B:B, 0))</f>
        <v>10.75</v>
      </c>
      <c r="O49" s="12">
        <v>1.273148148148148E-4</v>
      </c>
      <c r="Q49" s="13" t="s">
        <v>286</v>
      </c>
      <c r="R49" s="13" t="s">
        <v>287</v>
      </c>
      <c r="S49" s="13" t="s">
        <v>291</v>
      </c>
      <c r="T49" s="13" t="s">
        <v>35</v>
      </c>
      <c r="U49" s="14">
        <f t="array" ref="U49">INDEX(Film!C:C, MATCH("*" &amp; D49 &amp; "*", Film!B:B, 0))</f>
        <v>13.3</v>
      </c>
      <c r="V49" s="15">
        <v>1.388888888888889E-4</v>
      </c>
      <c r="W49" s="16"/>
    </row>
    <row r="50">
      <c r="A50" s="8">
        <v>80.67</v>
      </c>
      <c r="B50" s="9"/>
      <c r="C50" s="9" t="s">
        <v>292</v>
      </c>
      <c r="D50" s="9" t="s">
        <v>293</v>
      </c>
      <c r="E50" s="10" t="s">
        <v>294</v>
      </c>
      <c r="F50" s="9" t="s">
        <v>16</v>
      </c>
      <c r="G50" s="11">
        <f t="array" ref="G50">INDEX(Adaptatif!C:C, MATCH("*" &amp; D50 &amp; "*", Adaptatif!B:B, 0))</f>
        <v>56.11</v>
      </c>
      <c r="H50" s="12">
        <v>2.546296296296296E-4</v>
      </c>
      <c r="J50" s="9" t="s">
        <v>295</v>
      </c>
      <c r="K50" s="9" t="s">
        <v>293</v>
      </c>
      <c r="L50" s="9" t="s">
        <v>296</v>
      </c>
      <c r="M50" s="9" t="s">
        <v>16</v>
      </c>
      <c r="N50" s="11">
        <f t="array" ref="N50">INDEX(Serie!C:C, MATCH("*" &amp; D50 &amp; "*", Serie!B:B, 0))</f>
        <v>10.55</v>
      </c>
      <c r="O50" s="12">
        <v>2.4305555555555555E-4</v>
      </c>
      <c r="Q50" s="13" t="s">
        <v>292</v>
      </c>
      <c r="R50" s="13" t="s">
        <v>293</v>
      </c>
      <c r="S50" s="13" t="s">
        <v>297</v>
      </c>
      <c r="T50" s="13" t="s">
        <v>16</v>
      </c>
      <c r="U50" s="14">
        <f t="array" ref="U50">INDEX(Film!C:C, MATCH("*" &amp; D50 &amp; "*", Film!B:B, 0))</f>
        <v>13.22</v>
      </c>
      <c r="V50" s="15">
        <v>2.8935185185185184E-4</v>
      </c>
      <c r="W50" s="16"/>
    </row>
    <row r="51">
      <c r="A51" s="8">
        <v>79.65</v>
      </c>
      <c r="B51" s="9"/>
      <c r="C51" s="9" t="s">
        <v>298</v>
      </c>
      <c r="D51" s="9" t="s">
        <v>299</v>
      </c>
      <c r="E51" s="10" t="s">
        <v>300</v>
      </c>
      <c r="F51" s="9" t="s">
        <v>13</v>
      </c>
      <c r="G51" s="11">
        <f t="array" ref="G51">INDEX(Adaptatif!C:C, MATCH("*" &amp; D51 &amp; "*", Adaptatif!B:B, 0))</f>
        <v>34.99</v>
      </c>
      <c r="H51" s="12">
        <v>2.546296296296296E-4</v>
      </c>
      <c r="J51" s="9" t="s">
        <v>301</v>
      </c>
      <c r="K51" s="9" t="s">
        <v>299</v>
      </c>
      <c r="L51" s="9" t="s">
        <v>302</v>
      </c>
      <c r="M51" s="9" t="s">
        <v>13</v>
      </c>
      <c r="N51" s="11">
        <f t="array" ref="N51">INDEX(Serie!C:C, MATCH("*" &amp; D51 &amp; "*", Serie!B:B, 0))</f>
        <v>10.22</v>
      </c>
      <c r="O51" s="12">
        <v>2.4305555555555555E-4</v>
      </c>
      <c r="Q51" s="13" t="s">
        <v>298</v>
      </c>
      <c r="R51" s="13" t="s">
        <v>299</v>
      </c>
      <c r="S51" s="13" t="s">
        <v>303</v>
      </c>
      <c r="T51" s="13" t="s">
        <v>13</v>
      </c>
      <c r="U51" s="14">
        <f t="array" ref="U51">INDEX(Film!C:C, MATCH("*" &amp; D51 &amp; "*", Film!B:B, 0))</f>
        <v>13.49</v>
      </c>
      <c r="V51" s="15">
        <v>3.0092592592592595E-4</v>
      </c>
      <c r="W51" s="16"/>
    </row>
    <row r="52">
      <c r="A52" s="8">
        <v>78.53</v>
      </c>
      <c r="B52" s="9"/>
      <c r="C52" s="9" t="s">
        <v>304</v>
      </c>
      <c r="D52" s="9" t="s">
        <v>305</v>
      </c>
      <c r="E52" s="10" t="s">
        <v>306</v>
      </c>
      <c r="F52" s="9" t="s">
        <v>35</v>
      </c>
      <c r="G52" s="11">
        <f t="array" ref="G52">INDEX(Adaptatif!C:C, MATCH("*" &amp; D52 &amp; "*", Adaptatif!B:B, 0))</f>
        <v>21.77</v>
      </c>
      <c r="H52" s="12">
        <v>1.388888888888889E-4</v>
      </c>
      <c r="J52" s="9" t="s">
        <v>307</v>
      </c>
      <c r="K52" s="9" t="s">
        <v>305</v>
      </c>
      <c r="L52" s="9" t="s">
        <v>308</v>
      </c>
      <c r="M52" s="9" t="s">
        <v>35</v>
      </c>
      <c r="N52" s="11">
        <f t="array" ref="N52">INDEX(Serie!C:C, MATCH("*" &amp; D52 &amp; "*", Serie!B:B, 0))</f>
        <v>10.45</v>
      </c>
      <c r="O52" s="12">
        <v>1.1574074074074075E-4</v>
      </c>
      <c r="Q52" s="13" t="s">
        <v>304</v>
      </c>
      <c r="R52" s="13" t="s">
        <v>305</v>
      </c>
      <c r="S52" s="13" t="s">
        <v>309</v>
      </c>
      <c r="T52" s="13" t="s">
        <v>35</v>
      </c>
      <c r="U52" s="14">
        <f t="array" ref="U52">INDEX(Film!C:C, MATCH("*" &amp; D52 &amp; "*", Film!B:B, 0))</f>
        <v>13.07</v>
      </c>
      <c r="V52" s="15">
        <v>1.5046296296296297E-4</v>
      </c>
      <c r="W52" s="16"/>
    </row>
    <row r="53">
      <c r="A53" s="8">
        <v>78.44</v>
      </c>
      <c r="B53" s="9"/>
      <c r="C53" s="9" t="s">
        <v>310</v>
      </c>
      <c r="D53" s="9" t="s">
        <v>311</v>
      </c>
      <c r="E53" s="10" t="s">
        <v>312</v>
      </c>
      <c r="F53" s="9" t="s">
        <v>13</v>
      </c>
      <c r="G53" s="11">
        <f t="array" ref="G53">INDEX(Adaptatif!C:C, MATCH("*" &amp; D53 &amp; "*", Adaptatif!B:B, 0))</f>
        <v>42.3</v>
      </c>
      <c r="H53" s="12">
        <v>2.4305555555555555E-4</v>
      </c>
      <c r="J53" s="9" t="s">
        <v>313</v>
      </c>
      <c r="K53" s="9" t="s">
        <v>311</v>
      </c>
      <c r="L53" s="9" t="s">
        <v>314</v>
      </c>
      <c r="M53" s="9" t="s">
        <v>16</v>
      </c>
      <c r="N53" s="11">
        <f t="array" ref="N53">INDEX(Serie!C:C, MATCH("*" &amp; D53 &amp; "*", Serie!B:B, 0))</f>
        <v>10.74</v>
      </c>
      <c r="O53" s="12">
        <v>2.4305555555555555E-4</v>
      </c>
      <c r="Q53" s="13" t="s">
        <v>310</v>
      </c>
      <c r="R53" s="13" t="s">
        <v>311</v>
      </c>
      <c r="S53" s="13" t="s">
        <v>315</v>
      </c>
      <c r="T53" s="13" t="s">
        <v>16</v>
      </c>
      <c r="U53" s="14">
        <f t="array" ref="U53">INDEX(Film!C:C, MATCH("*" &amp; D53 &amp; "*", Film!B:B, 0))</f>
        <v>13.51</v>
      </c>
      <c r="V53" s="15">
        <v>2.8935185185185184E-4</v>
      </c>
      <c r="W53" s="16"/>
    </row>
    <row r="54">
      <c r="A54" s="8">
        <v>77.97</v>
      </c>
      <c r="B54" s="9"/>
      <c r="C54" s="9" t="s">
        <v>316</v>
      </c>
      <c r="D54" s="9" t="s">
        <v>317</v>
      </c>
      <c r="E54" s="10" t="s">
        <v>318</v>
      </c>
      <c r="F54" s="9" t="s">
        <v>13</v>
      </c>
      <c r="G54" s="11">
        <f t="array" ref="G54">INDEX(Adaptatif!C:C, MATCH("*" &amp; D54 &amp; "*", Adaptatif!B:B, 0))</f>
        <v>42.85</v>
      </c>
      <c r="H54" s="12">
        <v>2.4305555555555555E-4</v>
      </c>
      <c r="J54" s="9" t="s">
        <v>319</v>
      </c>
      <c r="K54" s="9" t="s">
        <v>317</v>
      </c>
      <c r="L54" s="9" t="s">
        <v>320</v>
      </c>
      <c r="M54" s="9" t="s">
        <v>16</v>
      </c>
      <c r="N54" s="11">
        <f t="array" ref="N54">INDEX(Serie!C:C, MATCH("*" &amp; D54 &amp; "*", Serie!B:B, 0))</f>
        <v>10.9</v>
      </c>
      <c r="O54" s="12">
        <v>2.314814814814815E-4</v>
      </c>
      <c r="Q54" s="13" t="s">
        <v>316</v>
      </c>
      <c r="R54" s="13" t="s">
        <v>317</v>
      </c>
      <c r="S54" s="13" t="s">
        <v>321</v>
      </c>
      <c r="T54" s="13" t="s">
        <v>16</v>
      </c>
      <c r="U54" s="14">
        <f t="array" ref="U54">INDEX(Film!C:C, MATCH("*" &amp; D54 &amp; "*", Film!B:B, 0))</f>
        <v>14.12</v>
      </c>
      <c r="V54" s="15">
        <v>2.777777777777778E-4</v>
      </c>
      <c r="W54" s="16"/>
    </row>
    <row r="55">
      <c r="A55" s="8">
        <v>77.72</v>
      </c>
      <c r="B55" s="9"/>
      <c r="C55" s="9" t="s">
        <v>322</v>
      </c>
      <c r="D55" s="9" t="s">
        <v>323</v>
      </c>
      <c r="E55" s="10" t="s">
        <v>324</v>
      </c>
      <c r="F55" s="9" t="s">
        <v>16</v>
      </c>
      <c r="G55" s="11">
        <f t="array" ref="G55">INDEX(Adaptatif!C:C, MATCH("*" &amp; D55 &amp; "*", Adaptatif!B:B, 0))</f>
        <v>59.37</v>
      </c>
      <c r="H55" s="12">
        <v>2.4305555555555555E-4</v>
      </c>
      <c r="J55" s="9" t="s">
        <v>325</v>
      </c>
      <c r="K55" s="9" t="s">
        <v>323</v>
      </c>
      <c r="L55" s="9" t="s">
        <v>326</v>
      </c>
      <c r="M55" s="9" t="s">
        <v>16</v>
      </c>
      <c r="N55" s="11">
        <f t="array" ref="N55">INDEX(Serie!C:C, MATCH("*" &amp; D55 &amp; "*", Serie!B:B, 0))</f>
        <v>10.85</v>
      </c>
      <c r="O55" s="12">
        <v>2.314814814814815E-4</v>
      </c>
      <c r="Q55" s="13" t="s">
        <v>322</v>
      </c>
      <c r="R55" s="13" t="s">
        <v>323</v>
      </c>
      <c r="S55" s="13" t="s">
        <v>327</v>
      </c>
      <c r="T55" s="13" t="s">
        <v>16</v>
      </c>
      <c r="U55" s="14">
        <f t="array" ref="U55">INDEX(Film!C:C, MATCH("*" &amp; D55 &amp; "*", Film!B:B, 0))</f>
        <v>13.99</v>
      </c>
      <c r="V55" s="15">
        <v>2.8935185185185184E-4</v>
      </c>
      <c r="W55" s="16"/>
    </row>
    <row r="56">
      <c r="A56" s="8">
        <v>77.52</v>
      </c>
      <c r="B56" s="9"/>
      <c r="C56" s="9" t="s">
        <v>328</v>
      </c>
      <c r="D56" s="9" t="s">
        <v>329</v>
      </c>
      <c r="E56" s="10" t="s">
        <v>330</v>
      </c>
      <c r="F56" s="9" t="s">
        <v>16</v>
      </c>
      <c r="G56" s="11">
        <f t="array" ref="G56">INDEX(Adaptatif!C:C, MATCH("*" &amp; D56 &amp; "*", Adaptatif!B:B, 0))</f>
        <v>53.25</v>
      </c>
      <c r="H56" s="12">
        <v>2.4305555555555555E-4</v>
      </c>
      <c r="J56" s="9" t="s">
        <v>331</v>
      </c>
      <c r="K56" s="9" t="s">
        <v>329</v>
      </c>
      <c r="L56" s="9" t="s">
        <v>332</v>
      </c>
      <c r="M56" s="9" t="s">
        <v>16</v>
      </c>
      <c r="N56" s="11">
        <f t="array" ref="N56">INDEX(Serie!C:C, MATCH("*" &amp; D56 &amp; "*", Serie!B:B, 0))</f>
        <v>11.2</v>
      </c>
      <c r="O56" s="12">
        <v>2.314814814814815E-4</v>
      </c>
      <c r="Q56" s="13" t="s">
        <v>328</v>
      </c>
      <c r="R56" s="13" t="s">
        <v>329</v>
      </c>
      <c r="S56" s="13" t="s">
        <v>333</v>
      </c>
      <c r="T56" s="13" t="s">
        <v>16</v>
      </c>
      <c r="U56" s="14">
        <f t="array" ref="U56">INDEX(Film!C:C, MATCH("*" &amp; D56 &amp; "*", Film!B:B, 0))</f>
        <v>14.12</v>
      </c>
      <c r="V56" s="15">
        <v>2.8935185185185184E-4</v>
      </c>
      <c r="W56" s="16"/>
    </row>
    <row r="57">
      <c r="A57" s="8">
        <v>77.48</v>
      </c>
      <c r="B57" s="9"/>
      <c r="C57" s="9" t="s">
        <v>334</v>
      </c>
      <c r="D57" s="9" t="s">
        <v>335</v>
      </c>
      <c r="E57" s="10" t="s">
        <v>336</v>
      </c>
      <c r="F57" s="9" t="s">
        <v>13</v>
      </c>
      <c r="G57" s="11">
        <f t="array" ref="G57">INDEX(Adaptatif!C:C, MATCH("*" &amp; D57 &amp; "*", Adaptatif!B:B, 0))</f>
        <v>56.81</v>
      </c>
      <c r="H57" s="12">
        <v>2.4305555555555555E-4</v>
      </c>
      <c r="J57" s="9" t="s">
        <v>337</v>
      </c>
      <c r="K57" s="9" t="s">
        <v>335</v>
      </c>
      <c r="L57" s="9" t="s">
        <v>338</v>
      </c>
      <c r="M57" s="9" t="s">
        <v>16</v>
      </c>
      <c r="N57" s="11">
        <f t="array" ref="N57">INDEX(Serie!C:C, MATCH("*" &amp; D57 &amp; "*", Serie!B:B, 0))</f>
        <v>11.38</v>
      </c>
      <c r="O57" s="12">
        <v>2.314814814814815E-4</v>
      </c>
      <c r="Q57" s="13" t="s">
        <v>334</v>
      </c>
      <c r="R57" s="13" t="s">
        <v>335</v>
      </c>
      <c r="S57" s="13" t="s">
        <v>339</v>
      </c>
      <c r="T57" s="13" t="s">
        <v>16</v>
      </c>
      <c r="U57" s="14">
        <f t="array" ref="U57">INDEX(Film!C:C, MATCH("*" &amp; D57 &amp; "*", Film!B:B, 0))</f>
        <v>14.4</v>
      </c>
      <c r="V57" s="15">
        <v>2.8935185185185184E-4</v>
      </c>
      <c r="W57" s="16"/>
    </row>
    <row r="58">
      <c r="A58" s="8">
        <v>77.44</v>
      </c>
      <c r="B58" s="9"/>
      <c r="C58" s="9" t="s">
        <v>340</v>
      </c>
      <c r="D58" s="9" t="s">
        <v>341</v>
      </c>
      <c r="E58" s="10" t="s">
        <v>342</v>
      </c>
      <c r="F58" s="9" t="s">
        <v>16</v>
      </c>
      <c r="G58" s="11">
        <f t="array" ref="G58">INDEX(Adaptatif!C:C, MATCH("*" &amp; D58 &amp; "*", Adaptatif!B:B, 0))</f>
        <v>46.85</v>
      </c>
      <c r="H58" s="12">
        <v>2.546296296296296E-4</v>
      </c>
      <c r="J58" s="9" t="s">
        <v>343</v>
      </c>
      <c r="K58" s="9" t="s">
        <v>341</v>
      </c>
      <c r="L58" s="9" t="s">
        <v>344</v>
      </c>
      <c r="M58" s="9" t="s">
        <v>16</v>
      </c>
      <c r="N58" s="11">
        <f t="array" ref="N58">INDEX(Serie!C:C, MATCH("*" &amp; D58 &amp; "*", Serie!B:B, 0))</f>
        <v>11.17</v>
      </c>
      <c r="O58" s="12">
        <v>2.4305555555555555E-4</v>
      </c>
      <c r="Q58" s="13" t="s">
        <v>340</v>
      </c>
      <c r="R58" s="13" t="s">
        <v>341</v>
      </c>
      <c r="S58" s="13" t="s">
        <v>345</v>
      </c>
      <c r="T58" s="13" t="s">
        <v>16</v>
      </c>
      <c r="U58" s="14">
        <f t="array" ref="U58">INDEX(Film!C:C, MATCH("*" &amp; D58 &amp; "*", Film!B:B, 0))</f>
        <v>14.23</v>
      </c>
      <c r="V58" s="15">
        <v>2.8935185185185184E-4</v>
      </c>
      <c r="W58" s="16"/>
    </row>
    <row r="59">
      <c r="A59" s="8">
        <v>77.4</v>
      </c>
      <c r="B59" s="9"/>
      <c r="C59" s="9" t="s">
        <v>346</v>
      </c>
      <c r="D59" s="9" t="s">
        <v>347</v>
      </c>
      <c r="E59" s="10" t="s">
        <v>348</v>
      </c>
      <c r="F59" s="9" t="s">
        <v>13</v>
      </c>
      <c r="G59" s="11">
        <f t="array" ref="G59">INDEX(Adaptatif!C:C, MATCH("*" &amp; D59 &amp; "*", Adaptatif!B:B, 0))</f>
        <v>40.55</v>
      </c>
      <c r="H59" s="12">
        <v>2.4305555555555555E-4</v>
      </c>
      <c r="J59" s="9" t="s">
        <v>349</v>
      </c>
      <c r="K59" s="9" t="s">
        <v>347</v>
      </c>
      <c r="L59" s="9" t="s">
        <v>350</v>
      </c>
      <c r="M59" s="9" t="s">
        <v>13</v>
      </c>
      <c r="N59" s="11">
        <f t="array" ref="N59">INDEX(Serie!C:C, MATCH("*" &amp; D59 &amp; "*", Serie!B:B, 0))</f>
        <v>10.66</v>
      </c>
      <c r="O59" s="12">
        <v>2.314814814814815E-4</v>
      </c>
      <c r="Q59" s="13" t="s">
        <v>346</v>
      </c>
      <c r="R59" s="13" t="s">
        <v>347</v>
      </c>
      <c r="S59" s="13" t="s">
        <v>351</v>
      </c>
      <c r="T59" s="13" t="s">
        <v>13</v>
      </c>
      <c r="U59" s="14">
        <f t="array" ref="U59">INDEX(Film!C:C, MATCH("*" &amp; D59 &amp; "*", Film!B:B, 0))</f>
        <v>13.41</v>
      </c>
      <c r="V59" s="15">
        <v>2.777777777777778E-4</v>
      </c>
      <c r="W59" s="16"/>
    </row>
    <row r="60">
      <c r="A60" s="8">
        <v>77.22</v>
      </c>
      <c r="B60" s="9"/>
      <c r="C60" s="9" t="s">
        <v>352</v>
      </c>
      <c r="D60" s="9" t="s">
        <v>353</v>
      </c>
      <c r="E60" s="10" t="s">
        <v>354</v>
      </c>
      <c r="F60" s="9" t="s">
        <v>16</v>
      </c>
      <c r="G60" s="11">
        <f t="array" ref="G60">INDEX(Adaptatif!C:C, MATCH("*" &amp; D60 &amp; "*", Adaptatif!B:B, 0))</f>
        <v>20.08</v>
      </c>
      <c r="H60" s="12">
        <v>2.314814814814815E-4</v>
      </c>
      <c r="J60" s="9" t="s">
        <v>355</v>
      </c>
      <c r="K60" s="9" t="s">
        <v>353</v>
      </c>
      <c r="L60" s="9" t="s">
        <v>356</v>
      </c>
      <c r="M60" s="9" t="s">
        <v>35</v>
      </c>
      <c r="N60" s="11">
        <f t="array" ref="N60">INDEX(Serie!C:C, MATCH("*" &amp; D60 &amp; "*", Serie!B:B, 0))</f>
        <v>11.15</v>
      </c>
      <c r="O60" s="12">
        <v>2.314814814814815E-4</v>
      </c>
      <c r="Q60" s="13" t="s">
        <v>352</v>
      </c>
      <c r="R60" s="13" t="s">
        <v>353</v>
      </c>
      <c r="S60" s="13" t="s">
        <v>357</v>
      </c>
      <c r="T60" s="13" t="s">
        <v>35</v>
      </c>
      <c r="U60" s="14">
        <f t="array" ref="U60">INDEX(Film!C:C, MATCH("*" &amp; D60 &amp; "*", Film!B:B, 0))</f>
        <v>14.15</v>
      </c>
      <c r="V60" s="15">
        <v>2.662037037037037E-4</v>
      </c>
      <c r="W60" s="16"/>
    </row>
    <row r="61">
      <c r="A61" s="8">
        <v>77.14</v>
      </c>
      <c r="B61" s="9"/>
      <c r="C61" s="9" t="s">
        <v>358</v>
      </c>
      <c r="D61" s="9" t="s">
        <v>359</v>
      </c>
      <c r="E61" s="10" t="s">
        <v>360</v>
      </c>
      <c r="F61" s="9" t="s">
        <v>13</v>
      </c>
      <c r="G61" s="11">
        <f t="array" ref="G61">INDEX(Adaptatif!C:C, MATCH("*" &amp; D61 &amp; "*", Adaptatif!B:B, 0))</f>
        <v>49.72</v>
      </c>
      <c r="H61" s="12">
        <v>2.4305555555555555E-4</v>
      </c>
      <c r="J61" s="9" t="s">
        <v>361</v>
      </c>
      <c r="K61" s="9" t="s">
        <v>359</v>
      </c>
      <c r="L61" s="9" t="s">
        <v>362</v>
      </c>
      <c r="M61" s="9" t="s">
        <v>16</v>
      </c>
      <c r="N61" s="11">
        <f t="array" ref="N61">INDEX(Serie!C:C, MATCH("*" &amp; D61 &amp; "*", Serie!B:B, 0))</f>
        <v>11.25</v>
      </c>
      <c r="O61" s="12">
        <v>2.4305555555555555E-4</v>
      </c>
      <c r="Q61" s="13" t="s">
        <v>358</v>
      </c>
      <c r="R61" s="13" t="s">
        <v>359</v>
      </c>
      <c r="S61" s="13" t="s">
        <v>363</v>
      </c>
      <c r="T61" s="13" t="s">
        <v>16</v>
      </c>
      <c r="U61" s="14">
        <f t="array" ref="U61">INDEX(Film!C:C, MATCH("*" &amp; D61 &amp; "*", Film!B:B, 0))</f>
        <v>14.09</v>
      </c>
      <c r="V61" s="15">
        <v>2.546296296296296E-4</v>
      </c>
      <c r="W61" s="16"/>
    </row>
    <row r="62">
      <c r="A62" s="8">
        <v>77.12</v>
      </c>
      <c r="B62" s="9"/>
      <c r="C62" s="9" t="s">
        <v>364</v>
      </c>
      <c r="D62" s="9" t="s">
        <v>365</v>
      </c>
      <c r="E62" s="10" t="s">
        <v>366</v>
      </c>
      <c r="F62" s="9" t="s">
        <v>13</v>
      </c>
      <c r="G62" s="11">
        <f t="array" ref="G62">INDEX(Adaptatif!C:C, MATCH("*" &amp; D62 &amp; "*", Adaptatif!B:B, 0))</f>
        <v>40.56</v>
      </c>
      <c r="H62" s="12">
        <v>2.4305555555555555E-4</v>
      </c>
      <c r="J62" s="9" t="s">
        <v>367</v>
      </c>
      <c r="K62" s="9" t="s">
        <v>365</v>
      </c>
      <c r="L62" s="9" t="s">
        <v>368</v>
      </c>
      <c r="M62" s="9" t="s">
        <v>13</v>
      </c>
      <c r="N62" s="11">
        <f t="array" ref="N62">INDEX(Serie!C:C, MATCH("*" &amp; D62 &amp; "*", Serie!B:B, 0))</f>
        <v>10.72</v>
      </c>
      <c r="O62" s="12">
        <v>2.314814814814815E-4</v>
      </c>
      <c r="Q62" s="13" t="s">
        <v>364</v>
      </c>
      <c r="R62" s="13" t="s">
        <v>365</v>
      </c>
      <c r="S62" s="13" t="s">
        <v>369</v>
      </c>
      <c r="T62" s="13" t="s">
        <v>13</v>
      </c>
      <c r="U62" s="14">
        <f t="array" ref="U62">INDEX(Film!C:C, MATCH("*" &amp; D62 &amp; "*", Film!B:B, 0))</f>
        <v>13.42</v>
      </c>
      <c r="V62" s="15">
        <v>2.777777777777778E-4</v>
      </c>
      <c r="W62" s="16"/>
    </row>
    <row r="63">
      <c r="A63" s="8">
        <v>77.09</v>
      </c>
      <c r="B63" s="9"/>
      <c r="C63" s="9" t="s">
        <v>370</v>
      </c>
      <c r="D63" s="9" t="s">
        <v>371</v>
      </c>
      <c r="E63" s="10" t="s">
        <v>372</v>
      </c>
      <c r="F63" s="9" t="s">
        <v>13</v>
      </c>
      <c r="G63" s="11">
        <f t="array" ref="G63">INDEX(Adaptatif!C:C, MATCH("*" &amp; D63 &amp; "*", Adaptatif!B:B, 0))</f>
        <v>32.26</v>
      </c>
      <c r="H63" s="12">
        <v>2.4305555555555555E-4</v>
      </c>
      <c r="J63" s="9" t="s">
        <v>373</v>
      </c>
      <c r="K63" s="9" t="s">
        <v>371</v>
      </c>
      <c r="L63" s="9" t="s">
        <v>374</v>
      </c>
      <c r="M63" s="9" t="s">
        <v>13</v>
      </c>
      <c r="N63" s="11">
        <f t="array" ref="N63">INDEX(Serie!C:C, MATCH("*" &amp; D63 &amp; "*", Serie!B:B, 0))</f>
        <v>10.72</v>
      </c>
      <c r="O63" s="12">
        <v>2.314814814814815E-4</v>
      </c>
      <c r="Q63" s="13" t="s">
        <v>370</v>
      </c>
      <c r="R63" s="13" t="s">
        <v>371</v>
      </c>
      <c r="S63" s="13" t="s">
        <v>375</v>
      </c>
      <c r="T63" s="13" t="s">
        <v>13</v>
      </c>
      <c r="U63" s="14">
        <f t="array" ref="U63">INDEX(Film!C:C, MATCH("*" &amp; D63 &amp; "*", Film!B:B, 0))</f>
        <v>13.82</v>
      </c>
      <c r="V63" s="15">
        <v>2.8935185185185184E-4</v>
      </c>
      <c r="W63" s="16"/>
    </row>
    <row r="64">
      <c r="A64" s="8">
        <v>76.84</v>
      </c>
      <c r="B64" s="9"/>
      <c r="C64" s="9" t="s">
        <v>376</v>
      </c>
      <c r="D64" s="9" t="s">
        <v>377</v>
      </c>
      <c r="E64" s="10" t="s">
        <v>378</v>
      </c>
      <c r="F64" s="9" t="s">
        <v>13</v>
      </c>
      <c r="G64" s="11">
        <f t="array" ref="G64">INDEX(Adaptatif!C:C, MATCH("*" &amp; D64 &amp; "*", Adaptatif!B:B, 0))</f>
        <v>52.99</v>
      </c>
      <c r="H64" s="12">
        <v>2.314814814814815E-4</v>
      </c>
      <c r="J64" s="9" t="s">
        <v>379</v>
      </c>
      <c r="K64" s="9" t="s">
        <v>377</v>
      </c>
      <c r="L64" s="9" t="s">
        <v>380</v>
      </c>
      <c r="M64" s="9" t="s">
        <v>16</v>
      </c>
      <c r="N64" s="11">
        <f t="array" ref="N64">INDEX(Serie!C:C, MATCH("*" &amp; D64 &amp; "*", Serie!B:B, 0))</f>
        <v>11.01</v>
      </c>
      <c r="O64" s="12">
        <v>2.314814814814815E-4</v>
      </c>
      <c r="Q64" s="13" t="s">
        <v>376</v>
      </c>
      <c r="R64" s="13" t="s">
        <v>377</v>
      </c>
      <c r="S64" s="13" t="s">
        <v>381</v>
      </c>
      <c r="T64" s="13" t="s">
        <v>16</v>
      </c>
      <c r="U64" s="14">
        <f t="array" ref="U64">INDEX(Film!C:C, MATCH("*" &amp; D64 &amp; "*", Film!B:B, 0))</f>
        <v>14.2</v>
      </c>
      <c r="V64" s="15">
        <v>2.8935185185185184E-4</v>
      </c>
      <c r="W64" s="16"/>
    </row>
    <row r="65">
      <c r="A65" s="8">
        <v>76.82</v>
      </c>
      <c r="B65" s="9"/>
      <c r="C65" s="9" t="s">
        <v>382</v>
      </c>
      <c r="D65" s="9" t="s">
        <v>383</v>
      </c>
      <c r="E65" s="10" t="s">
        <v>384</v>
      </c>
      <c r="F65" s="9" t="s">
        <v>16</v>
      </c>
      <c r="G65" s="11">
        <f t="array" ref="G65">INDEX(Adaptatif!C:C, MATCH("*" &amp; D65 &amp; "*", Adaptatif!B:B, 0))</f>
        <v>20.25</v>
      </c>
      <c r="H65" s="12">
        <v>2.314814814814815E-4</v>
      </c>
      <c r="J65" s="9" t="s">
        <v>385</v>
      </c>
      <c r="K65" s="9" t="s">
        <v>383</v>
      </c>
      <c r="L65" s="9" t="s">
        <v>386</v>
      </c>
      <c r="M65" s="9" t="s">
        <v>16</v>
      </c>
      <c r="N65" s="11">
        <f t="array" ref="N65">INDEX(Serie!C:C, MATCH("*" &amp; D65 &amp; "*", Serie!B:B, 0))</f>
        <v>11.01</v>
      </c>
      <c r="O65" s="12">
        <v>2.314814814814815E-4</v>
      </c>
      <c r="Q65" s="13" t="s">
        <v>382</v>
      </c>
      <c r="R65" s="13" t="s">
        <v>383</v>
      </c>
      <c r="S65" s="13" t="s">
        <v>387</v>
      </c>
      <c r="T65" s="13" t="s">
        <v>16</v>
      </c>
      <c r="U65" s="14">
        <f t="array" ref="U65">INDEX(Film!C:C, MATCH("*" &amp; D65 &amp; "*", Film!B:B, 0))</f>
        <v>13.97</v>
      </c>
      <c r="V65" s="15">
        <v>2.8935185185185184E-4</v>
      </c>
      <c r="W65" s="16"/>
    </row>
    <row r="66">
      <c r="A66" s="8">
        <v>76.57</v>
      </c>
      <c r="B66" s="9"/>
      <c r="C66" s="9" t="s">
        <v>388</v>
      </c>
      <c r="D66" s="9" t="s">
        <v>389</v>
      </c>
      <c r="E66" s="10" t="s">
        <v>390</v>
      </c>
      <c r="F66" s="9" t="s">
        <v>13</v>
      </c>
      <c r="G66" s="11">
        <f t="array" ref="G66">INDEX(Adaptatif!C:C, MATCH("*" &amp; D66 &amp; "*", Adaptatif!B:B, 0))</f>
        <v>41.95</v>
      </c>
      <c r="H66" s="12">
        <v>2.314814814814815E-4</v>
      </c>
      <c r="J66" s="9" t="s">
        <v>391</v>
      </c>
      <c r="K66" s="9" t="s">
        <v>389</v>
      </c>
      <c r="L66" s="9" t="s">
        <v>115</v>
      </c>
      <c r="M66" s="9" t="s">
        <v>13</v>
      </c>
      <c r="N66" s="11">
        <f t="array" ref="N66">INDEX(Serie!C:C, MATCH("*" &amp; D66 &amp; "*", Serie!B:B, 0))</f>
        <v>10.89</v>
      </c>
      <c r="O66" s="12">
        <v>2.314814814814815E-4</v>
      </c>
      <c r="Q66" s="13" t="s">
        <v>388</v>
      </c>
      <c r="R66" s="13" t="s">
        <v>389</v>
      </c>
      <c r="S66" s="13" t="s">
        <v>392</v>
      </c>
      <c r="T66" s="13" t="s">
        <v>13</v>
      </c>
      <c r="U66" s="14">
        <f t="array" ref="U66">INDEX(Film!C:C, MATCH("*" &amp; D66 &amp; "*", Film!B:B, 0))</f>
        <v>13.41</v>
      </c>
      <c r="V66" s="15">
        <v>2.662037037037037E-4</v>
      </c>
      <c r="W66" s="16"/>
    </row>
    <row r="67">
      <c r="A67" s="8">
        <v>76.55</v>
      </c>
      <c r="B67" s="9"/>
      <c r="C67" s="9" t="s">
        <v>393</v>
      </c>
      <c r="D67" s="9" t="s">
        <v>394</v>
      </c>
      <c r="E67" s="10" t="s">
        <v>395</v>
      </c>
      <c r="F67" s="9" t="s">
        <v>13</v>
      </c>
      <c r="G67" s="11">
        <f t="array" ref="G67">INDEX(Adaptatif!C:C, MATCH("*" &amp; D67 &amp; "*", Adaptatif!B:B, 0))</f>
        <v>50.83</v>
      </c>
      <c r="H67" s="12">
        <v>2.4305555555555555E-4</v>
      </c>
      <c r="J67" s="9" t="s">
        <v>396</v>
      </c>
      <c r="K67" s="9" t="s">
        <v>394</v>
      </c>
      <c r="L67" s="9" t="s">
        <v>397</v>
      </c>
      <c r="M67" s="9" t="s">
        <v>16</v>
      </c>
      <c r="N67" s="11">
        <f t="array" ref="N67">INDEX(Serie!C:C, MATCH("*" &amp; D67 &amp; "*", Serie!B:B, 0))</f>
        <v>10.52</v>
      </c>
      <c r="O67" s="12">
        <v>2.4305555555555555E-4</v>
      </c>
      <c r="Q67" s="13" t="s">
        <v>393</v>
      </c>
      <c r="R67" s="13" t="s">
        <v>394</v>
      </c>
      <c r="S67" s="13" t="s">
        <v>398</v>
      </c>
      <c r="T67" s="13" t="s">
        <v>13</v>
      </c>
      <c r="U67" s="14">
        <f t="array" ref="U67">INDEX(Film!C:C, MATCH("*" &amp; D67 &amp; "*", Film!B:B, 0))</f>
        <v>13.61</v>
      </c>
      <c r="V67" s="15">
        <v>2.662037037037037E-4</v>
      </c>
      <c r="W67" s="16"/>
    </row>
    <row r="68">
      <c r="A68" s="8">
        <v>76.37</v>
      </c>
      <c r="B68" s="9"/>
      <c r="C68" s="9" t="s">
        <v>399</v>
      </c>
      <c r="D68" s="9" t="s">
        <v>400</v>
      </c>
      <c r="E68" s="10" t="s">
        <v>401</v>
      </c>
      <c r="F68" s="9" t="s">
        <v>13</v>
      </c>
      <c r="G68" s="11">
        <f t="array" ref="G68">INDEX(Adaptatif!C:C, MATCH("*" &amp; D68 &amp; "*", Adaptatif!B:B, 0))</f>
        <v>49.19</v>
      </c>
      <c r="H68" s="12">
        <v>2.314814814814815E-4</v>
      </c>
      <c r="J68" s="9" t="s">
        <v>402</v>
      </c>
      <c r="K68" s="9" t="s">
        <v>400</v>
      </c>
      <c r="L68" s="9" t="s">
        <v>403</v>
      </c>
      <c r="M68" s="9" t="s">
        <v>16</v>
      </c>
      <c r="N68" s="11">
        <f t="array" ref="N68">INDEX(Serie!C:C, MATCH("*" &amp; D68 &amp; "*", Serie!B:B, 0))</f>
        <v>11.71</v>
      </c>
      <c r="O68" s="12">
        <v>2.314814814814815E-4</v>
      </c>
      <c r="Q68" s="13" t="s">
        <v>399</v>
      </c>
      <c r="R68" s="13" t="s">
        <v>400</v>
      </c>
      <c r="S68" s="13" t="s">
        <v>404</v>
      </c>
      <c r="T68" s="13" t="s">
        <v>13</v>
      </c>
      <c r="U68" s="14">
        <f t="array" ref="U68">INDEX(Film!C:C, MATCH("*" &amp; D68 &amp; "*", Film!B:B, 0))</f>
        <v>14.6</v>
      </c>
      <c r="V68" s="15">
        <v>2.662037037037037E-4</v>
      </c>
      <c r="W68" s="16"/>
    </row>
    <row r="69">
      <c r="A69" s="8">
        <v>76.34</v>
      </c>
      <c r="B69" s="9"/>
      <c r="C69" s="9" t="s">
        <v>405</v>
      </c>
      <c r="D69" s="9" t="s">
        <v>406</v>
      </c>
      <c r="E69" s="10" t="s">
        <v>407</v>
      </c>
      <c r="F69" s="9" t="s">
        <v>16</v>
      </c>
      <c r="G69" s="11">
        <f t="array" ref="G69">INDEX(Adaptatif!C:C, MATCH("*" &amp; D69 &amp; "*", Adaptatif!B:B, 0))</f>
        <v>49.1</v>
      </c>
      <c r="H69" s="12">
        <v>2.314814814814815E-4</v>
      </c>
      <c r="J69" s="9" t="s">
        <v>408</v>
      </c>
      <c r="K69" s="9" t="s">
        <v>406</v>
      </c>
      <c r="L69" s="9" t="s">
        <v>409</v>
      </c>
      <c r="M69" s="9" t="s">
        <v>16</v>
      </c>
      <c r="N69" s="11">
        <f t="array" ref="N69">INDEX(Serie!C:C, MATCH("*" &amp; D69 &amp; "*", Serie!B:B, 0))</f>
        <v>11.19</v>
      </c>
      <c r="O69" s="12">
        <v>2.314814814814815E-4</v>
      </c>
      <c r="Q69" s="13" t="s">
        <v>405</v>
      </c>
      <c r="R69" s="13" t="s">
        <v>406</v>
      </c>
      <c r="S69" s="13" t="s">
        <v>410</v>
      </c>
      <c r="T69" s="13" t="s">
        <v>16</v>
      </c>
      <c r="U69" s="14">
        <f t="array" ref="U69">INDEX(Film!C:C, MATCH("*" &amp; D69 &amp; "*", Film!B:B, 0))</f>
        <v>14.43</v>
      </c>
      <c r="V69" s="15">
        <v>2.777777777777778E-4</v>
      </c>
      <c r="W69" s="16"/>
    </row>
    <row r="70">
      <c r="A70" s="8">
        <v>76.13</v>
      </c>
      <c r="B70" s="9"/>
      <c r="C70" s="9" t="s">
        <v>411</v>
      </c>
      <c r="D70" s="9" t="s">
        <v>412</v>
      </c>
      <c r="E70" s="10" t="s">
        <v>413</v>
      </c>
      <c r="F70" s="9" t="s">
        <v>13</v>
      </c>
      <c r="G70" s="11">
        <f t="array" ref="G70">INDEX(Adaptatif!C:C, MATCH("*" &amp; D70 &amp; "*", Adaptatif!B:B, 0))</f>
        <v>17.42</v>
      </c>
      <c r="H70" s="12">
        <v>2.314814814814815E-4</v>
      </c>
      <c r="J70" s="9" t="s">
        <v>414</v>
      </c>
      <c r="K70" s="9" t="s">
        <v>412</v>
      </c>
      <c r="L70" s="9" t="s">
        <v>415</v>
      </c>
      <c r="M70" s="9" t="s">
        <v>13</v>
      </c>
      <c r="N70" s="11">
        <f t="array" ref="N70">INDEX(Serie!C:C, MATCH("*" &amp; D70 &amp; "*", Serie!B:B, 0))</f>
        <v>10.33</v>
      </c>
      <c r="O70" s="12">
        <v>2.314814814814815E-4</v>
      </c>
      <c r="Q70" s="13" t="s">
        <v>411</v>
      </c>
      <c r="R70" s="13" t="s">
        <v>412</v>
      </c>
      <c r="S70" s="13" t="s">
        <v>416</v>
      </c>
      <c r="T70" s="13" t="s">
        <v>13</v>
      </c>
      <c r="U70" s="14">
        <f t="array" ref="U70">INDEX(Film!C:C, MATCH("*" &amp; D70 &amp; "*", Film!B:B, 0))</f>
        <v>13.07</v>
      </c>
      <c r="V70" s="15">
        <v>2.8935185185185184E-4</v>
      </c>
      <c r="W70" s="16"/>
    </row>
    <row r="71">
      <c r="A71" s="8">
        <v>76.12</v>
      </c>
      <c r="B71" s="9"/>
      <c r="C71" s="9" t="s">
        <v>417</v>
      </c>
      <c r="D71" s="9" t="s">
        <v>418</v>
      </c>
      <c r="E71" s="10" t="s">
        <v>419</v>
      </c>
      <c r="F71" s="9" t="s">
        <v>35</v>
      </c>
      <c r="G71" s="11">
        <f t="array" ref="G71">INDEX(Adaptatif!C:C, MATCH("*" &amp; D71 &amp; "*", Adaptatif!B:B, 0))</f>
        <v>27.3</v>
      </c>
      <c r="H71" s="12">
        <v>1.388888888888889E-4</v>
      </c>
      <c r="J71" s="9" t="s">
        <v>420</v>
      </c>
      <c r="K71" s="9" t="s">
        <v>418</v>
      </c>
      <c r="L71" s="9" t="s">
        <v>421</v>
      </c>
      <c r="M71" s="9" t="s">
        <v>35</v>
      </c>
      <c r="N71" s="11">
        <f t="array" ref="N71">INDEX(Serie!C:C, MATCH("*" &amp; D71 &amp; "*", Serie!B:B, 0))</f>
        <v>10.27</v>
      </c>
      <c r="O71" s="12">
        <v>1.273148148148148E-4</v>
      </c>
      <c r="Q71" s="13" t="s">
        <v>417</v>
      </c>
      <c r="R71" s="13" t="s">
        <v>418</v>
      </c>
      <c r="S71" s="13" t="s">
        <v>422</v>
      </c>
      <c r="T71" s="13" t="s">
        <v>35</v>
      </c>
      <c r="U71" s="14">
        <f t="array" ref="U71">INDEX(Film!C:C, MATCH("*" &amp; D71 &amp; "*", Film!B:B, 0))</f>
        <v>12.88</v>
      </c>
      <c r="V71" s="15">
        <v>1.273148148148148E-4</v>
      </c>
      <c r="W71" s="16"/>
    </row>
    <row r="72">
      <c r="A72" s="8">
        <v>76.07</v>
      </c>
      <c r="B72" s="9"/>
      <c r="C72" s="9" t="s">
        <v>423</v>
      </c>
      <c r="D72" s="9" t="s">
        <v>424</v>
      </c>
      <c r="E72" s="10" t="s">
        <v>425</v>
      </c>
      <c r="F72" s="9" t="s">
        <v>16</v>
      </c>
      <c r="G72" s="11">
        <f t="array" ref="G72">INDEX(Adaptatif!C:C, MATCH("*" &amp; D72 &amp; "*", Adaptatif!B:B, 0))</f>
        <v>40.01</v>
      </c>
      <c r="H72" s="12">
        <v>2.546296296296296E-4</v>
      </c>
      <c r="J72" s="9" t="s">
        <v>426</v>
      </c>
      <c r="K72" s="9" t="s">
        <v>424</v>
      </c>
      <c r="L72" s="9" t="s">
        <v>427</v>
      </c>
      <c r="M72" s="9" t="s">
        <v>16</v>
      </c>
      <c r="N72" s="11">
        <f t="array" ref="N72">INDEX(Serie!C:C, MATCH("*" &amp; D72 &amp; "*", Serie!B:B, 0))</f>
        <v>11.1</v>
      </c>
      <c r="O72" s="12">
        <v>2.4305555555555555E-4</v>
      </c>
      <c r="Q72" s="13" t="s">
        <v>423</v>
      </c>
      <c r="R72" s="13" t="s">
        <v>424</v>
      </c>
      <c r="S72" s="13" t="s">
        <v>428</v>
      </c>
      <c r="T72" s="13" t="s">
        <v>16</v>
      </c>
      <c r="U72" s="14">
        <f t="array" ref="U72">INDEX(Film!C:C, MATCH("*" &amp; D72 &amp; "*", Film!B:B, 0))</f>
        <v>13.94</v>
      </c>
      <c r="V72" s="15">
        <v>2.546296296296296E-4</v>
      </c>
      <c r="W72" s="16"/>
    </row>
    <row r="73">
      <c r="A73" s="8">
        <v>74.65</v>
      </c>
      <c r="B73" s="9"/>
      <c r="C73" s="9" t="s">
        <v>429</v>
      </c>
      <c r="D73" s="9" t="s">
        <v>430</v>
      </c>
      <c r="E73" s="19" t="s">
        <v>179</v>
      </c>
      <c r="F73" s="18" t="s">
        <v>82</v>
      </c>
      <c r="G73" s="11">
        <f t="array" ref="G73">INDEX(Adaptatif!C:C, MATCH("*" &amp; D73 &amp; "*", Adaptatif!B:B, 0))</f>
        <v>37.03</v>
      </c>
      <c r="H73" s="12">
        <v>1.388888888888889E-4</v>
      </c>
      <c r="J73" s="9" t="s">
        <v>431</v>
      </c>
      <c r="K73" s="9" t="s">
        <v>430</v>
      </c>
      <c r="L73" s="19" t="s">
        <v>432</v>
      </c>
      <c r="M73" s="18" t="s">
        <v>82</v>
      </c>
      <c r="N73" s="11">
        <f t="array" ref="N73">INDEX(Serie!C:C, MATCH("*" &amp; D73 &amp; "*", Serie!B:B, 0))</f>
        <v>10.44</v>
      </c>
      <c r="O73" s="12">
        <v>1.273148148148148E-4</v>
      </c>
      <c r="Q73" s="13" t="s">
        <v>429</v>
      </c>
      <c r="R73" s="13" t="s">
        <v>430</v>
      </c>
      <c r="S73" s="13" t="s">
        <v>433</v>
      </c>
      <c r="T73" s="13" t="s">
        <v>82</v>
      </c>
      <c r="U73" s="14">
        <f t="array" ref="U73">INDEX(Film!C:C, MATCH("*" &amp; D73 &amp; "*", Film!B:B, 0))</f>
        <v>13.2</v>
      </c>
      <c r="V73" s="15">
        <v>1.273148148148148E-4</v>
      </c>
      <c r="W73" s="16"/>
    </row>
    <row r="74">
      <c r="A74" s="8">
        <v>74.36</v>
      </c>
      <c r="B74" s="9"/>
      <c r="C74" s="9" t="s">
        <v>434</v>
      </c>
      <c r="D74" s="9" t="s">
        <v>435</v>
      </c>
      <c r="E74" s="10" t="s">
        <v>436</v>
      </c>
      <c r="F74" s="9" t="s">
        <v>35</v>
      </c>
      <c r="G74" s="11">
        <f t="array" ref="G74">INDEX(Adaptatif!C:C, MATCH("*" &amp; D74 &amp; "*", Adaptatif!B:B, 0))</f>
        <v>24.86</v>
      </c>
      <c r="H74" s="12">
        <v>1.388888888888889E-4</v>
      </c>
      <c r="J74" s="9" t="s">
        <v>437</v>
      </c>
      <c r="K74" s="9" t="s">
        <v>435</v>
      </c>
      <c r="L74" s="9" t="s">
        <v>438</v>
      </c>
      <c r="M74" s="9" t="s">
        <v>35</v>
      </c>
      <c r="N74" s="11">
        <f t="array" ref="N74">INDEX(Serie!C:C, MATCH("*" &amp; D74 &amp; "*", Serie!B:B, 0))</f>
        <v>10.8</v>
      </c>
      <c r="O74" s="12">
        <v>1.273148148148148E-4</v>
      </c>
      <c r="Q74" s="13" t="s">
        <v>434</v>
      </c>
      <c r="R74" s="13" t="s">
        <v>435</v>
      </c>
      <c r="S74" s="13" t="s">
        <v>439</v>
      </c>
      <c r="T74" s="13" t="s">
        <v>35</v>
      </c>
      <c r="U74" s="14">
        <f t="array" ref="U74">INDEX(Film!C:C, MATCH("*" &amp; D74 &amp; "*", Film!B:B, 0))</f>
        <v>13.2</v>
      </c>
      <c r="V74" s="15">
        <v>1.388888888888889E-4</v>
      </c>
      <c r="W74" s="16"/>
    </row>
    <row r="75">
      <c r="A75" s="8">
        <v>74.34</v>
      </c>
      <c r="B75" s="9"/>
      <c r="C75" s="9" t="s">
        <v>440</v>
      </c>
      <c r="D75" s="9" t="s">
        <v>441</v>
      </c>
      <c r="E75" s="10" t="s">
        <v>442</v>
      </c>
      <c r="F75" s="9" t="s">
        <v>16</v>
      </c>
      <c r="G75" s="11">
        <f t="array" ref="G75">INDEX(Adaptatif!C:C, MATCH("*" &amp; D75 &amp; "*", Adaptatif!B:B, 0))</f>
        <v>33.45</v>
      </c>
      <c r="H75" s="12">
        <v>2.314814814814815E-4</v>
      </c>
      <c r="J75" s="9" t="s">
        <v>443</v>
      </c>
      <c r="K75" s="9" t="s">
        <v>441</v>
      </c>
      <c r="L75" s="9" t="s">
        <v>444</v>
      </c>
      <c r="M75" s="9" t="s">
        <v>35</v>
      </c>
      <c r="N75" s="11">
        <f t="array" ref="N75">INDEX(Serie!C:C, MATCH("*" &amp; D75 &amp; "*", Serie!B:B, 0))</f>
        <v>11.02</v>
      </c>
      <c r="O75" s="12">
        <v>2.314814814814815E-4</v>
      </c>
      <c r="Q75" s="13" t="s">
        <v>440</v>
      </c>
      <c r="R75" s="13" t="s">
        <v>441</v>
      </c>
      <c r="S75" s="13" t="s">
        <v>445</v>
      </c>
      <c r="T75" s="13" t="s">
        <v>16</v>
      </c>
      <c r="U75" s="14">
        <f t="array" ref="U75">INDEX(Film!C:C, MATCH("*" &amp; D75 &amp; "*", Film!B:B, 0))</f>
        <v>14.24</v>
      </c>
      <c r="V75" s="15">
        <v>2.4305555555555555E-4</v>
      </c>
      <c r="W75" s="16"/>
    </row>
    <row r="76">
      <c r="A76" s="8">
        <v>39.5</v>
      </c>
      <c r="B76" s="9"/>
      <c r="C76" s="9" t="s">
        <v>446</v>
      </c>
      <c r="D76" s="9" t="s">
        <v>447</v>
      </c>
      <c r="E76" s="10" t="s">
        <v>448</v>
      </c>
      <c r="F76" s="9" t="s">
        <v>16</v>
      </c>
      <c r="G76" s="11">
        <f t="array" ref="G76">INDEX(Adaptatif!C:C, MATCH("*" &amp; D76 &amp; "*", Adaptatif!B:B, 0))</f>
        <v>20.15</v>
      </c>
      <c r="H76" s="12">
        <v>1.273148148148148E-4</v>
      </c>
      <c r="J76" s="9" t="s">
        <v>449</v>
      </c>
      <c r="K76" s="9" t="s">
        <v>447</v>
      </c>
      <c r="L76" s="9" t="s">
        <v>34</v>
      </c>
      <c r="M76" s="9" t="s">
        <v>35</v>
      </c>
      <c r="N76" s="11">
        <f t="array" ref="N76">INDEX(Serie!C:C, MATCH("*" &amp; D76 &amp; "*", Serie!B:B, 0))</f>
        <v>10.39</v>
      </c>
      <c r="O76" s="12">
        <v>1.273148148148148E-4</v>
      </c>
      <c r="Q76" s="13" t="s">
        <v>446</v>
      </c>
      <c r="R76" s="13" t="s">
        <v>447</v>
      </c>
      <c r="S76" s="13" t="s">
        <v>450</v>
      </c>
      <c r="T76" s="13" t="s">
        <v>35</v>
      </c>
      <c r="U76" s="14">
        <f t="array" ref="U76">INDEX(Film!C:C, MATCH("*" &amp; D76 &amp; "*", Film!B:B, 0))</f>
        <v>13.09</v>
      </c>
      <c r="V76" s="15">
        <v>1.388888888888889E-4</v>
      </c>
      <c r="W76" s="16"/>
    </row>
    <row r="77">
      <c r="A77" s="8">
        <v>38.34</v>
      </c>
      <c r="B77" s="9"/>
      <c r="C77" s="9" t="s">
        <v>451</v>
      </c>
      <c r="D77" s="9" t="s">
        <v>452</v>
      </c>
      <c r="E77" s="10" t="s">
        <v>453</v>
      </c>
      <c r="F77" s="9" t="s">
        <v>16</v>
      </c>
      <c r="G77" s="11">
        <f t="array" ref="G77">INDEX(Adaptatif!C:C, MATCH("*" &amp; D77 &amp; "*", Adaptatif!B:B, 0))</f>
        <v>9.18</v>
      </c>
      <c r="H77" s="12">
        <v>1.273148148148148E-4</v>
      </c>
      <c r="J77" s="9" t="s">
        <v>454</v>
      </c>
      <c r="K77" s="9" t="s">
        <v>452</v>
      </c>
      <c r="L77" s="9" t="s">
        <v>455</v>
      </c>
      <c r="M77" s="9" t="s">
        <v>16</v>
      </c>
      <c r="N77" s="11">
        <f t="array" ref="N77">INDEX(Serie!C:C, MATCH("*" &amp; D77 &amp; "*", Serie!B:B, 0))</f>
        <v>9.72</v>
      </c>
      <c r="O77" s="12">
        <v>1.1574074074074075E-4</v>
      </c>
      <c r="Q77" s="13" t="s">
        <v>451</v>
      </c>
      <c r="R77" s="13" t="s">
        <v>452</v>
      </c>
      <c r="S77" s="13" t="s">
        <v>404</v>
      </c>
      <c r="T77" s="13" t="s">
        <v>13</v>
      </c>
      <c r="U77" s="14">
        <f t="array" ref="U77">INDEX(Film!C:C, MATCH("*" &amp; D77 &amp; "*", Film!B:B, 0))</f>
        <v>12.12</v>
      </c>
      <c r="V77" s="15">
        <v>1.388888888888889E-4</v>
      </c>
      <c r="W77" s="16"/>
    </row>
    <row r="78">
      <c r="A78" s="8">
        <v>37.73</v>
      </c>
      <c r="B78" s="9"/>
      <c r="C78" s="9" t="s">
        <v>456</v>
      </c>
      <c r="D78" s="9" t="s">
        <v>457</v>
      </c>
      <c r="E78" s="10" t="s">
        <v>458</v>
      </c>
      <c r="F78" s="9" t="s">
        <v>13</v>
      </c>
      <c r="G78" s="11">
        <f t="array" ref="G78">INDEX(Adaptatif!C:C, MATCH("*" &amp; D78 &amp; "*", Adaptatif!B:B, 0))</f>
        <v>14.27</v>
      </c>
      <c r="H78" s="12">
        <v>1.1574074074074075E-4</v>
      </c>
      <c r="J78" s="9" t="s">
        <v>459</v>
      </c>
      <c r="K78" s="9" t="s">
        <v>457</v>
      </c>
      <c r="L78" s="9" t="s">
        <v>460</v>
      </c>
      <c r="M78" s="9" t="s">
        <v>13</v>
      </c>
      <c r="N78" s="11">
        <f t="array" ref="N78">INDEX(Serie!C:C, MATCH("*" &amp; D78 &amp; "*", Serie!B:B, 0))</f>
        <v>9.1</v>
      </c>
      <c r="O78" s="12">
        <v>1.1574074074074075E-4</v>
      </c>
      <c r="Q78" s="13" t="s">
        <v>456</v>
      </c>
      <c r="R78" s="13" t="s">
        <v>457</v>
      </c>
      <c r="S78" s="13" t="s">
        <v>461</v>
      </c>
      <c r="T78" s="13" t="s">
        <v>13</v>
      </c>
      <c r="U78" s="14">
        <f t="array" ref="U78">INDEX(Film!C:C, MATCH("*" &amp; D78 &amp; "*", Film!B:B, 0))</f>
        <v>10.47</v>
      </c>
      <c r="V78" s="15">
        <v>1.273148148148148E-4</v>
      </c>
      <c r="W78" s="16"/>
    </row>
    <row r="79">
      <c r="A79" s="8">
        <v>36.31</v>
      </c>
      <c r="B79" s="9"/>
      <c r="C79" s="9" t="s">
        <v>462</v>
      </c>
      <c r="D79" s="9" t="s">
        <v>463</v>
      </c>
      <c r="E79" s="10" t="s">
        <v>464</v>
      </c>
      <c r="F79" s="9" t="s">
        <v>13</v>
      </c>
      <c r="G79" s="11">
        <f t="array" ref="G79">INDEX(Adaptatif!C:C, MATCH("*" &amp; D79 &amp; "*", Adaptatif!B:B, 0))</f>
        <v>6.47</v>
      </c>
      <c r="H79" s="12">
        <v>1.1574074074074075E-4</v>
      </c>
      <c r="J79" s="9" t="s">
        <v>465</v>
      </c>
      <c r="K79" s="9" t="s">
        <v>463</v>
      </c>
      <c r="L79" s="9" t="s">
        <v>466</v>
      </c>
      <c r="M79" s="9" t="s">
        <v>13</v>
      </c>
      <c r="N79" s="11">
        <f t="array" ref="N79">INDEX(Serie!C:C, MATCH("*" &amp; D79 &amp; "*", Serie!B:B, 0))</f>
        <v>6.4</v>
      </c>
      <c r="O79" s="12">
        <v>1.1574074074074075E-4</v>
      </c>
      <c r="Q79" s="13" t="s">
        <v>462</v>
      </c>
      <c r="R79" s="13" t="s">
        <v>463</v>
      </c>
      <c r="S79" s="13" t="s">
        <v>467</v>
      </c>
      <c r="T79" s="13" t="s">
        <v>13</v>
      </c>
      <c r="U79" s="14">
        <f t="array" ref="U79">INDEX(Film!C:C, MATCH("*" &amp; D79 &amp; "*", Film!B:B, 0))</f>
        <v>8.2</v>
      </c>
      <c r="V79" s="15">
        <v>1.273148148148148E-4</v>
      </c>
      <c r="W79" s="16"/>
    </row>
    <row r="80">
      <c r="A80" s="8">
        <v>26.81</v>
      </c>
      <c r="B80" s="9"/>
      <c r="C80" s="9" t="s">
        <v>468</v>
      </c>
      <c r="D80" s="9" t="s">
        <v>469</v>
      </c>
      <c r="E80" s="10" t="s">
        <v>470</v>
      </c>
      <c r="F80" s="9" t="s">
        <v>13</v>
      </c>
      <c r="G80" s="11">
        <f t="array" ref="G80">INDEX(Adaptatif!C:C, MATCH("*" &amp; D80 &amp; "*", Adaptatif!B:B, 0))</f>
        <v>19.69</v>
      </c>
      <c r="H80" s="12">
        <v>2.314814814814815E-4</v>
      </c>
      <c r="J80" s="9" t="s">
        <v>471</v>
      </c>
      <c r="K80" s="9" t="s">
        <v>469</v>
      </c>
      <c r="L80" s="9" t="s">
        <v>472</v>
      </c>
      <c r="M80" s="9" t="s">
        <v>13</v>
      </c>
      <c r="N80" s="11">
        <f t="array" ref="N80">INDEX(Serie!C:C, MATCH("*" &amp; D80 &amp; "*", Serie!B:B, 0))</f>
        <v>11.34</v>
      </c>
      <c r="O80" s="12">
        <v>2.314814814814815E-4</v>
      </c>
      <c r="Q80" s="13" t="s">
        <v>468</v>
      </c>
      <c r="R80" s="13" t="s">
        <v>469</v>
      </c>
      <c r="S80" s="13" t="s">
        <v>473</v>
      </c>
      <c r="T80" s="13" t="s">
        <v>13</v>
      </c>
      <c r="U80" s="14">
        <f t="array" ref="U80">INDEX(Film!C:C, MATCH("*" &amp; D80 &amp; "*", Film!B:B, 0))</f>
        <v>14.4</v>
      </c>
      <c r="V80" s="15">
        <v>2.546296296296296E-4</v>
      </c>
      <c r="W80" s="16"/>
    </row>
    <row r="81">
      <c r="A81" s="8">
        <v>24.01</v>
      </c>
      <c r="B81" s="9"/>
      <c r="C81" s="9" t="s">
        <v>474</v>
      </c>
      <c r="D81" s="9" t="s">
        <v>475</v>
      </c>
      <c r="E81" s="10" t="s">
        <v>372</v>
      </c>
      <c r="F81" s="9" t="s">
        <v>13</v>
      </c>
      <c r="G81" s="11">
        <f t="array" ref="G81">INDEX(Adaptatif!C:C, MATCH("*" &amp; D81 &amp; "*", Adaptatif!B:B, 0))</f>
        <v>19.06</v>
      </c>
      <c r="H81" s="12">
        <v>2.199074074074074E-4</v>
      </c>
      <c r="J81" s="9" t="s">
        <v>476</v>
      </c>
      <c r="K81" s="9" t="s">
        <v>475</v>
      </c>
      <c r="L81" s="9" t="s">
        <v>477</v>
      </c>
      <c r="M81" s="9" t="s">
        <v>13</v>
      </c>
      <c r="N81" s="11">
        <f t="array" ref="N81">INDEX(Serie!C:C, MATCH("*" &amp; D81 &amp; "*", Serie!B:B, 0))</f>
        <v>12</v>
      </c>
      <c r="O81" s="12">
        <v>2.199074074074074E-4</v>
      </c>
      <c r="Q81" s="13" t="s">
        <v>474</v>
      </c>
      <c r="R81" s="13" t="s">
        <v>475</v>
      </c>
      <c r="S81" s="13" t="s">
        <v>478</v>
      </c>
      <c r="T81" s="13" t="s">
        <v>13</v>
      </c>
      <c r="U81" s="14">
        <f t="array" ref="U81">INDEX(Film!C:C, MATCH("*" &amp; D81 &amp; "*", Film!B:B, 0))</f>
        <v>14.96</v>
      </c>
      <c r="V81" s="15">
        <v>2.4305555555555555E-4</v>
      </c>
      <c r="W81" s="16"/>
    </row>
    <row r="82">
      <c r="A82" s="8">
        <v>23.33</v>
      </c>
      <c r="B82" s="9"/>
      <c r="C82" s="9" t="s">
        <v>479</v>
      </c>
      <c r="D82" s="9" t="s">
        <v>480</v>
      </c>
      <c r="E82" s="10" t="s">
        <v>481</v>
      </c>
      <c r="F82" s="9" t="s">
        <v>13</v>
      </c>
      <c r="G82" s="11">
        <f t="array" ref="G82">INDEX(Adaptatif!C:C, MATCH("*" &amp; D82 &amp; "*", Adaptatif!B:B, 0))</f>
        <v>19.84</v>
      </c>
      <c r="H82" s="12">
        <v>2.199074074074074E-4</v>
      </c>
      <c r="J82" s="9" t="s">
        <v>482</v>
      </c>
      <c r="K82" s="9" t="s">
        <v>480</v>
      </c>
      <c r="L82" s="9" t="s">
        <v>483</v>
      </c>
      <c r="M82" s="9" t="s">
        <v>16</v>
      </c>
      <c r="N82" s="11">
        <f t="array" ref="N82">INDEX(Serie!C:C, MATCH("*" &amp; D82 &amp; "*", Serie!B:B, 0))</f>
        <v>11.02</v>
      </c>
      <c r="O82" s="12">
        <v>2.199074074074074E-4</v>
      </c>
      <c r="Q82" s="13" t="s">
        <v>479</v>
      </c>
      <c r="R82" s="13" t="s">
        <v>480</v>
      </c>
      <c r="S82" s="13" t="s">
        <v>484</v>
      </c>
      <c r="T82" s="13" t="s">
        <v>13</v>
      </c>
      <c r="U82" s="14">
        <f t="array" ref="U82">INDEX(Film!C:C, MATCH("*" &amp; D82 &amp; "*", Film!B:B, 0))</f>
        <v>14.08</v>
      </c>
      <c r="V82" s="15">
        <v>2.4305555555555555E-4</v>
      </c>
      <c r="W82" s="16"/>
    </row>
    <row r="83">
      <c r="A83" s="8">
        <v>23.3</v>
      </c>
      <c r="B83" s="9"/>
      <c r="C83" s="9" t="s">
        <v>485</v>
      </c>
      <c r="D83" s="9" t="s">
        <v>486</v>
      </c>
      <c r="E83" s="10" t="s">
        <v>487</v>
      </c>
      <c r="F83" s="9" t="s">
        <v>13</v>
      </c>
      <c r="G83" s="11">
        <f t="array" ref="G83">INDEX(Adaptatif!C:C, MATCH("*" &amp; D83 &amp; "*", Adaptatif!B:B, 0))</f>
        <v>17.75</v>
      </c>
      <c r="H83" s="12">
        <v>2.199074074074074E-4</v>
      </c>
      <c r="J83" s="9" t="s">
        <v>488</v>
      </c>
      <c r="K83" s="9" t="s">
        <v>486</v>
      </c>
      <c r="L83" s="9" t="s">
        <v>489</v>
      </c>
      <c r="M83" s="9" t="s">
        <v>13</v>
      </c>
      <c r="N83" s="11">
        <f t="array" ref="N83">INDEX(Serie!C:C, MATCH("*" &amp; D83 &amp; "*", Serie!B:B, 0))</f>
        <v>12.1</v>
      </c>
      <c r="O83" s="12">
        <v>2.199074074074074E-4</v>
      </c>
      <c r="Q83" s="13" t="s">
        <v>485</v>
      </c>
      <c r="R83" s="13" t="s">
        <v>486</v>
      </c>
      <c r="S83" s="13" t="s">
        <v>490</v>
      </c>
      <c r="T83" s="13" t="s">
        <v>13</v>
      </c>
      <c r="U83" s="14">
        <f t="array" ref="U83">INDEX(Film!C:C, MATCH("*" &amp; D83 &amp; "*", Film!B:B, 0))</f>
        <v>15.14</v>
      </c>
      <c r="V83" s="15">
        <v>2.4305555555555555E-4</v>
      </c>
      <c r="W83" s="16"/>
    </row>
    <row r="84">
      <c r="A84" s="8">
        <v>23.29</v>
      </c>
      <c r="B84" s="9"/>
      <c r="C84" s="9" t="s">
        <v>491</v>
      </c>
      <c r="D84" s="9" t="s">
        <v>492</v>
      </c>
      <c r="E84" s="10" t="s">
        <v>360</v>
      </c>
      <c r="F84" s="9" t="s">
        <v>13</v>
      </c>
      <c r="G84" s="11">
        <f t="array" ref="G84">INDEX(Adaptatif!C:C, MATCH("*" &amp; D84 &amp; "*", Adaptatif!B:B, 0))</f>
        <v>19.2</v>
      </c>
      <c r="H84" s="12">
        <v>2.4305555555555555E-4</v>
      </c>
      <c r="J84" s="9" t="s">
        <v>493</v>
      </c>
      <c r="K84" s="9" t="s">
        <v>492</v>
      </c>
      <c r="L84" s="9" t="s">
        <v>494</v>
      </c>
      <c r="M84" s="9" t="s">
        <v>13</v>
      </c>
      <c r="N84" s="11">
        <f t="array" ref="N84">INDEX(Serie!C:C, MATCH("*" &amp; D84 &amp; "*", Serie!B:B, 0))</f>
        <v>11.68</v>
      </c>
      <c r="O84" s="12">
        <v>2.199074074074074E-4</v>
      </c>
      <c r="Q84" s="13" t="s">
        <v>491</v>
      </c>
      <c r="R84" s="13" t="s">
        <v>492</v>
      </c>
      <c r="S84" s="13" t="s">
        <v>495</v>
      </c>
      <c r="T84" s="13" t="s">
        <v>13</v>
      </c>
      <c r="U84" s="14">
        <f t="array" ref="U84">INDEX(Film!C:C, MATCH("*" &amp; D84 &amp; "*", Film!B:B, 0))</f>
        <v>14.65</v>
      </c>
      <c r="V84" s="15">
        <v>2.546296296296296E-4</v>
      </c>
      <c r="W84" s="16"/>
    </row>
    <row r="85">
      <c r="A85" s="8">
        <v>23.27</v>
      </c>
      <c r="B85" s="9"/>
      <c r="C85" s="9" t="s">
        <v>496</v>
      </c>
      <c r="D85" s="9" t="s">
        <v>497</v>
      </c>
      <c r="E85" s="10" t="s">
        <v>498</v>
      </c>
      <c r="F85" s="9" t="s">
        <v>13</v>
      </c>
      <c r="G85" s="11">
        <f t="array" ref="G85">INDEX(Adaptatif!C:C, MATCH("*" &amp; D85 &amp; "*", Adaptatif!B:B, 0))</f>
        <v>18.16</v>
      </c>
      <c r="H85" s="12">
        <v>2.314814814814815E-4</v>
      </c>
      <c r="J85" s="9" t="s">
        <v>499</v>
      </c>
      <c r="K85" s="9" t="s">
        <v>497</v>
      </c>
      <c r="L85" s="9" t="s">
        <v>500</v>
      </c>
      <c r="M85" s="9" t="s">
        <v>16</v>
      </c>
      <c r="N85" s="11">
        <f t="array" ref="N85">INDEX(Serie!C:C, MATCH("*" &amp; D85 &amp; "*", Serie!B:B, 0))</f>
        <v>11.15</v>
      </c>
      <c r="O85" s="12">
        <v>2.199074074074074E-4</v>
      </c>
      <c r="Q85" s="13" t="s">
        <v>496</v>
      </c>
      <c r="R85" s="13" t="s">
        <v>497</v>
      </c>
      <c r="S85" s="13" t="s">
        <v>501</v>
      </c>
      <c r="T85" s="13" t="s">
        <v>13</v>
      </c>
      <c r="U85" s="14">
        <f t="array" ref="U85">INDEX(Film!C:C, MATCH("*" &amp; D85 &amp; "*", Film!B:B, 0))</f>
        <v>14.42</v>
      </c>
      <c r="V85" s="15">
        <v>2.546296296296296E-4</v>
      </c>
      <c r="W85" s="16"/>
    </row>
    <row r="86">
      <c r="A86" s="8">
        <v>23.18</v>
      </c>
      <c r="B86" s="9"/>
      <c r="C86" s="9" t="s">
        <v>502</v>
      </c>
      <c r="D86" s="9" t="s">
        <v>503</v>
      </c>
      <c r="E86" s="10" t="s">
        <v>504</v>
      </c>
      <c r="F86" s="9" t="s">
        <v>13</v>
      </c>
      <c r="G86" s="11">
        <f t="array" ref="G86">INDEX(Adaptatif!C:C, MATCH("*" &amp; D86 &amp; "*", Adaptatif!B:B, 0))</f>
        <v>16.46</v>
      </c>
      <c r="H86" s="12">
        <v>2.4305555555555555E-4</v>
      </c>
      <c r="J86" s="9" t="s">
        <v>505</v>
      </c>
      <c r="K86" s="9" t="s">
        <v>503</v>
      </c>
      <c r="L86" s="9" t="s">
        <v>303</v>
      </c>
      <c r="M86" s="9" t="s">
        <v>13</v>
      </c>
      <c r="N86" s="11">
        <f t="array" ref="N86">INDEX(Serie!C:C, MATCH("*" &amp; D86 &amp; "*", Serie!B:B, 0))</f>
        <v>11.7</v>
      </c>
      <c r="O86" s="12">
        <v>2.314814814814815E-4</v>
      </c>
      <c r="Q86" s="13" t="s">
        <v>502</v>
      </c>
      <c r="R86" s="13" t="s">
        <v>503</v>
      </c>
      <c r="S86" s="13" t="s">
        <v>506</v>
      </c>
      <c r="T86" s="13" t="s">
        <v>13</v>
      </c>
      <c r="U86" s="14">
        <f t="array" ref="U86">INDEX(Film!C:C, MATCH("*" &amp; D86 &amp; "*", Film!B:B, 0))</f>
        <v>14.9</v>
      </c>
      <c r="V86" s="15">
        <v>2.546296296296296E-4</v>
      </c>
      <c r="W86" s="16"/>
    </row>
    <row r="87">
      <c r="A87" s="8">
        <v>22.87</v>
      </c>
      <c r="B87" s="9"/>
      <c r="C87" s="9" t="s">
        <v>507</v>
      </c>
      <c r="D87" s="9" t="s">
        <v>508</v>
      </c>
      <c r="E87" s="10" t="s">
        <v>509</v>
      </c>
      <c r="F87" s="9" t="s">
        <v>13</v>
      </c>
      <c r="G87" s="11">
        <f t="array" ref="G87">INDEX(Adaptatif!C:C, MATCH("*" &amp; D87 &amp; "*", Adaptatif!B:B, 0))</f>
        <v>17.95</v>
      </c>
      <c r="H87" s="12">
        <v>2.199074074074074E-4</v>
      </c>
      <c r="J87" s="9" t="s">
        <v>510</v>
      </c>
      <c r="K87" s="9" t="s">
        <v>508</v>
      </c>
      <c r="L87" s="9" t="s">
        <v>511</v>
      </c>
      <c r="M87" s="9" t="s">
        <v>16</v>
      </c>
      <c r="N87" s="11">
        <f t="array" ref="N87">INDEX(Serie!C:C, MATCH("*" &amp; D87 &amp; "*", Serie!B:B, 0))</f>
        <v>10.38</v>
      </c>
      <c r="O87" s="12">
        <v>2.546296296296296E-4</v>
      </c>
      <c r="Q87" s="13" t="s">
        <v>507</v>
      </c>
      <c r="R87" s="13" t="s">
        <v>508</v>
      </c>
      <c r="S87" s="13" t="s">
        <v>512</v>
      </c>
      <c r="T87" s="13" t="s">
        <v>16</v>
      </c>
      <c r="U87" s="14">
        <f t="array" ref="U87">INDEX(Film!C:C, MATCH("*" &amp; D87 &amp; "*", Film!B:B, 0))</f>
        <v>12.85</v>
      </c>
      <c r="V87" s="15">
        <v>2.314814814814815E-4</v>
      </c>
      <c r="W87" s="16"/>
    </row>
    <row r="88">
      <c r="A88" s="8">
        <v>22.86</v>
      </c>
      <c r="B88" s="9"/>
      <c r="C88" s="9" t="s">
        <v>513</v>
      </c>
      <c r="D88" s="9" t="s">
        <v>514</v>
      </c>
      <c r="E88" s="10" t="s">
        <v>515</v>
      </c>
      <c r="F88" s="9" t="s">
        <v>13</v>
      </c>
      <c r="G88" s="11">
        <f t="array" ref="G88">INDEX(Adaptatif!C:C, MATCH("*" &amp; D88 &amp; "*", Adaptatif!B:B, 0))</f>
        <v>15.82</v>
      </c>
      <c r="H88" s="12">
        <v>2.314814814814815E-4</v>
      </c>
      <c r="J88" s="9" t="s">
        <v>516</v>
      </c>
      <c r="K88" s="9" t="s">
        <v>514</v>
      </c>
      <c r="L88" s="9" t="s">
        <v>517</v>
      </c>
      <c r="M88" s="9" t="s">
        <v>13</v>
      </c>
      <c r="N88" s="11">
        <f t="array" ref="N88">INDEX(Serie!C:C, MATCH("*" &amp; D88 &amp; "*", Serie!B:B, 0))</f>
        <v>11.1</v>
      </c>
      <c r="O88" s="12">
        <v>3.2407407407407406E-4</v>
      </c>
      <c r="Q88" s="13" t="s">
        <v>513</v>
      </c>
      <c r="R88" s="13" t="s">
        <v>514</v>
      </c>
      <c r="S88" s="13" t="s">
        <v>518</v>
      </c>
      <c r="T88" s="13" t="s">
        <v>13</v>
      </c>
      <c r="U88" s="14">
        <f t="array" ref="U88">INDEX(Film!C:C, MATCH("*" &amp; D88 &amp; "*", Film!B:B, 0))</f>
        <v>13.93</v>
      </c>
      <c r="V88" s="15">
        <v>2.546296296296296E-4</v>
      </c>
      <c r="W88" s="16"/>
    </row>
    <row r="89">
      <c r="A89" s="8">
        <v>22.84</v>
      </c>
      <c r="B89" s="9"/>
      <c r="C89" s="9" t="s">
        <v>519</v>
      </c>
      <c r="D89" s="9" t="s">
        <v>520</v>
      </c>
      <c r="E89" s="10" t="s">
        <v>521</v>
      </c>
      <c r="F89" s="9" t="s">
        <v>13</v>
      </c>
      <c r="G89" s="11">
        <f t="array" ref="G89">INDEX(Adaptatif!C:C, MATCH("*" &amp; D89 &amp; "*", Adaptatif!B:B, 0))</f>
        <v>18.71</v>
      </c>
      <c r="H89" s="12">
        <v>2.314814814814815E-4</v>
      </c>
      <c r="J89" s="9" t="s">
        <v>522</v>
      </c>
      <c r="K89" s="9" t="s">
        <v>520</v>
      </c>
      <c r="L89" s="9" t="s">
        <v>523</v>
      </c>
      <c r="M89" s="9" t="s">
        <v>13</v>
      </c>
      <c r="N89" s="11">
        <f t="array" ref="N89">INDEX(Serie!C:C, MATCH("*" &amp; D89 &amp; "*", Serie!B:B, 0))</f>
        <v>11.41</v>
      </c>
      <c r="O89" s="12">
        <v>3.0092592592592595E-4</v>
      </c>
      <c r="Q89" s="13" t="s">
        <v>519</v>
      </c>
      <c r="R89" s="13" t="s">
        <v>520</v>
      </c>
      <c r="S89" s="13" t="s">
        <v>524</v>
      </c>
      <c r="T89" s="13" t="s">
        <v>13</v>
      </c>
      <c r="U89" s="14">
        <f t="array" ref="U89">INDEX(Film!C:C, MATCH("*" &amp; D89 &amp; "*", Film!B:B, 0))</f>
        <v>14.31</v>
      </c>
      <c r="V89" s="15">
        <v>2.546296296296296E-4</v>
      </c>
      <c r="W89" s="16"/>
    </row>
    <row r="90">
      <c r="A90" s="8">
        <v>22.55</v>
      </c>
      <c r="B90" s="9"/>
      <c r="C90" s="9" t="s">
        <v>525</v>
      </c>
      <c r="D90" s="9" t="s">
        <v>526</v>
      </c>
      <c r="E90" s="10" t="s">
        <v>527</v>
      </c>
      <c r="F90" s="9" t="s">
        <v>13</v>
      </c>
      <c r="G90" s="11">
        <f t="array" ref="G90">INDEX(Adaptatif!C:C, MATCH("*" &amp; D90 &amp; "*", Adaptatif!B:B, 0))</f>
        <v>18.03</v>
      </c>
      <c r="H90" s="12">
        <v>2.0833333333333335E-4</v>
      </c>
      <c r="J90" s="9" t="s">
        <v>528</v>
      </c>
      <c r="K90" s="9" t="s">
        <v>526</v>
      </c>
      <c r="L90" s="9" t="s">
        <v>529</v>
      </c>
      <c r="M90" s="9" t="s">
        <v>13</v>
      </c>
      <c r="N90" s="11">
        <f t="array" ref="N90">INDEX(Serie!C:C, MATCH("*" &amp; D90 &amp; "*", Serie!B:B, 0))</f>
        <v>10.54</v>
      </c>
      <c r="O90" s="12">
        <v>2.777777777777778E-4</v>
      </c>
      <c r="Q90" s="13" t="s">
        <v>525</v>
      </c>
      <c r="R90" s="13" t="s">
        <v>526</v>
      </c>
      <c r="S90" s="13" t="s">
        <v>530</v>
      </c>
      <c r="T90" s="13" t="s">
        <v>13</v>
      </c>
      <c r="U90" s="14">
        <f t="array" ref="U90">INDEX(Film!C:C, MATCH("*" &amp; D90 &amp; "*", Film!B:B, 0))</f>
        <v>13.05</v>
      </c>
      <c r="V90" s="15">
        <v>2.314814814814815E-4</v>
      </c>
      <c r="W90" s="16"/>
    </row>
    <row r="91">
      <c r="A91" s="8">
        <v>22.27</v>
      </c>
      <c r="B91" s="9"/>
      <c r="C91" s="9" t="s">
        <v>531</v>
      </c>
      <c r="D91" s="9" t="s">
        <v>532</v>
      </c>
      <c r="E91" s="10" t="s">
        <v>533</v>
      </c>
      <c r="F91" s="9" t="s">
        <v>13</v>
      </c>
      <c r="G91" s="11">
        <f t="array" ref="G91">INDEX(Adaptatif!C:C, MATCH("*" &amp; D91 &amp; "*", Adaptatif!B:B, 0))</f>
        <v>13.41</v>
      </c>
      <c r="H91" s="12">
        <v>2.199074074074074E-4</v>
      </c>
      <c r="J91" s="9" t="s">
        <v>534</v>
      </c>
      <c r="K91" s="9" t="s">
        <v>532</v>
      </c>
      <c r="L91" s="9" t="s">
        <v>372</v>
      </c>
      <c r="M91" s="9" t="s">
        <v>13</v>
      </c>
      <c r="N91" s="11">
        <f t="array" ref="N91">INDEX(Serie!C:C, MATCH("*" &amp; D91 &amp; "*", Serie!B:B, 0))</f>
        <v>9.21</v>
      </c>
      <c r="O91" s="12">
        <v>2.777777777777778E-4</v>
      </c>
      <c r="Q91" s="13" t="s">
        <v>531</v>
      </c>
      <c r="R91" s="13" t="s">
        <v>532</v>
      </c>
      <c r="S91" s="13" t="s">
        <v>535</v>
      </c>
      <c r="T91" s="13" t="s">
        <v>13</v>
      </c>
      <c r="U91" s="14">
        <f t="array" ref="U91">INDEX(Film!C:C, MATCH("*" &amp; D91 &amp; "*", Film!B:B, 0))</f>
        <v>11.44</v>
      </c>
      <c r="V91" s="15">
        <v>2.4305555555555555E-4</v>
      </c>
      <c r="W91" s="16"/>
    </row>
    <row r="92">
      <c r="A92" s="8">
        <v>22.0</v>
      </c>
      <c r="B92" s="9"/>
      <c r="C92" s="9" t="s">
        <v>536</v>
      </c>
      <c r="D92" s="9" t="s">
        <v>537</v>
      </c>
      <c r="E92" s="10" t="s">
        <v>538</v>
      </c>
      <c r="F92" s="9" t="s">
        <v>13</v>
      </c>
      <c r="G92" s="11">
        <f t="array" ref="G92">INDEX(Adaptatif!C:C, MATCH("*" &amp; D92 &amp; "*", Adaptatif!B:B, 0))</f>
        <v>17.63</v>
      </c>
      <c r="H92" s="12">
        <v>2.199074074074074E-4</v>
      </c>
      <c r="J92" s="9" t="s">
        <v>539</v>
      </c>
      <c r="K92" s="9" t="s">
        <v>537</v>
      </c>
      <c r="L92" s="9" t="s">
        <v>489</v>
      </c>
      <c r="M92" s="9" t="s">
        <v>13</v>
      </c>
      <c r="N92" s="11">
        <f t="array" ref="N92">INDEX(Serie!C:C, MATCH("*" &amp; D92 &amp; "*", Serie!B:B, 0))</f>
        <v>10.45</v>
      </c>
      <c r="O92" s="12">
        <v>2.662037037037037E-4</v>
      </c>
      <c r="Q92" s="13" t="s">
        <v>536</v>
      </c>
      <c r="R92" s="13" t="s">
        <v>537</v>
      </c>
      <c r="S92" s="13" t="s">
        <v>540</v>
      </c>
      <c r="T92" s="13" t="s">
        <v>13</v>
      </c>
      <c r="U92" s="14">
        <f t="array" ref="U92">INDEX(Film!C:C, MATCH("*" &amp; D92 &amp; "*", Film!B:B, 0))</f>
        <v>12.77</v>
      </c>
      <c r="V92" s="15">
        <v>2.314814814814815E-4</v>
      </c>
      <c r="W92" s="16"/>
    </row>
    <row r="93">
      <c r="A93" s="8">
        <v>21.85</v>
      </c>
      <c r="B93" s="9"/>
      <c r="C93" s="9" t="s">
        <v>541</v>
      </c>
      <c r="D93" s="9" t="s">
        <v>542</v>
      </c>
      <c r="E93" s="10" t="s">
        <v>543</v>
      </c>
      <c r="F93" s="9" t="s">
        <v>13</v>
      </c>
      <c r="G93" s="11">
        <f t="array" ref="G93">INDEX(Adaptatif!C:C, MATCH("*" &amp; D93 &amp; "*", Adaptatif!B:B, 0))</f>
        <v>17.66</v>
      </c>
      <c r="H93" s="12">
        <v>2.314814814814815E-4</v>
      </c>
      <c r="J93" s="9" t="s">
        <v>544</v>
      </c>
      <c r="K93" s="9" t="s">
        <v>542</v>
      </c>
      <c r="L93" s="9" t="s">
        <v>545</v>
      </c>
      <c r="M93" s="9" t="s">
        <v>13</v>
      </c>
      <c r="N93" s="11">
        <f t="array" ref="N93">INDEX(Serie!C:C, MATCH("*" &amp; D93 &amp; "*", Serie!B:B, 0))</f>
        <v>11.01</v>
      </c>
      <c r="O93" s="12">
        <v>3.125E-4</v>
      </c>
      <c r="Q93" s="13" t="s">
        <v>541</v>
      </c>
      <c r="R93" s="13" t="s">
        <v>542</v>
      </c>
      <c r="S93" s="13" t="s">
        <v>546</v>
      </c>
      <c r="T93" s="13" t="s">
        <v>13</v>
      </c>
      <c r="U93" s="14">
        <f t="array" ref="U93">INDEX(Film!C:C, MATCH("*" &amp; D93 &amp; "*", Film!B:B, 0))</f>
        <v>13.85</v>
      </c>
      <c r="V93" s="15">
        <v>2.4305555555555555E-4</v>
      </c>
      <c r="W93" s="16"/>
    </row>
    <row r="94">
      <c r="A94" s="8">
        <v>21.74</v>
      </c>
      <c r="B94" s="9"/>
      <c r="C94" s="9" t="s">
        <v>547</v>
      </c>
      <c r="D94" s="9" t="s">
        <v>548</v>
      </c>
      <c r="E94" s="10" t="s">
        <v>549</v>
      </c>
      <c r="F94" s="9" t="s">
        <v>13</v>
      </c>
      <c r="G94" s="11">
        <f t="array" ref="G94">INDEX(Adaptatif!C:C, MATCH("*" &amp; D94 &amp; "*", Adaptatif!B:B, 0))</f>
        <v>14.94</v>
      </c>
      <c r="H94" s="12">
        <v>2.0833333333333335E-4</v>
      </c>
      <c r="J94" s="9" t="s">
        <v>550</v>
      </c>
      <c r="K94" s="9" t="s">
        <v>548</v>
      </c>
      <c r="L94" s="9" t="s">
        <v>551</v>
      </c>
      <c r="M94" s="9" t="s">
        <v>13</v>
      </c>
      <c r="N94" s="11">
        <f t="array" ref="N94">INDEX(Serie!C:C, MATCH("*" &amp; D94 &amp; "*", Serie!B:B, 0))</f>
        <v>10.9</v>
      </c>
      <c r="O94" s="12">
        <v>2.8935185185185184E-4</v>
      </c>
      <c r="Q94" s="13" t="s">
        <v>547</v>
      </c>
      <c r="R94" s="13" t="s">
        <v>548</v>
      </c>
      <c r="S94" s="13" t="s">
        <v>552</v>
      </c>
      <c r="T94" s="13" t="s">
        <v>13</v>
      </c>
      <c r="U94" s="14">
        <f t="array" ref="U94">INDEX(Film!C:C, MATCH("*" &amp; D94 &amp; "*", Film!B:B, 0))</f>
        <v>13.41</v>
      </c>
      <c r="V94" s="15">
        <v>2.314814814814815E-4</v>
      </c>
      <c r="W94" s="16"/>
    </row>
    <row r="95">
      <c r="A95" s="8">
        <v>21.67</v>
      </c>
      <c r="B95" s="9"/>
      <c r="C95" s="9" t="s">
        <v>553</v>
      </c>
      <c r="D95" s="9" t="s">
        <v>554</v>
      </c>
      <c r="E95" s="10" t="s">
        <v>498</v>
      </c>
      <c r="F95" s="9" t="s">
        <v>13</v>
      </c>
      <c r="G95" s="11">
        <f t="array" ref="G95">INDEX(Adaptatif!C:C, MATCH("*" &amp; D95 &amp; "*", Adaptatif!B:B, 0))</f>
        <v>14.66</v>
      </c>
      <c r="H95" s="12">
        <v>2.314814814814815E-4</v>
      </c>
      <c r="J95" s="9" t="s">
        <v>555</v>
      </c>
      <c r="K95" s="9" t="s">
        <v>554</v>
      </c>
      <c r="L95" s="9" t="s">
        <v>556</v>
      </c>
      <c r="M95" s="9" t="s">
        <v>16</v>
      </c>
      <c r="N95" s="11">
        <f t="array" ref="N95">INDEX(Serie!C:C, MATCH("*" &amp; D95 &amp; "*", Serie!B:B, 0))</f>
        <v>10.31</v>
      </c>
      <c r="O95" s="12">
        <v>3.0092592592592595E-4</v>
      </c>
      <c r="Q95" s="13" t="s">
        <v>553</v>
      </c>
      <c r="R95" s="13" t="s">
        <v>554</v>
      </c>
      <c r="S95" s="13" t="s">
        <v>28</v>
      </c>
      <c r="T95" s="13" t="s">
        <v>13</v>
      </c>
      <c r="U95" s="14">
        <f t="array" ref="U95">INDEX(Film!C:C, MATCH("*" &amp; D95 &amp; "*", Film!B:B, 0))</f>
        <v>13.32</v>
      </c>
      <c r="V95" s="15">
        <v>2.546296296296296E-4</v>
      </c>
      <c r="W95" s="16"/>
    </row>
    <row r="96">
      <c r="A96" s="8">
        <v>21.54</v>
      </c>
      <c r="B96" s="9"/>
      <c r="C96" s="9" t="s">
        <v>557</v>
      </c>
      <c r="D96" s="9" t="s">
        <v>558</v>
      </c>
      <c r="E96" s="10" t="s">
        <v>559</v>
      </c>
      <c r="F96" s="9" t="s">
        <v>13</v>
      </c>
      <c r="G96" s="11">
        <f t="array" ref="G96">INDEX(Adaptatif!C:C, MATCH("*" &amp; D96 &amp; "*", Adaptatif!B:B, 0))</f>
        <v>14.95</v>
      </c>
      <c r="H96" s="12">
        <v>2.199074074074074E-4</v>
      </c>
      <c r="J96" s="9" t="s">
        <v>560</v>
      </c>
      <c r="K96" s="9" t="s">
        <v>558</v>
      </c>
      <c r="L96" s="9" t="s">
        <v>561</v>
      </c>
      <c r="M96" s="9" t="s">
        <v>13</v>
      </c>
      <c r="N96" s="11">
        <f t="array" ref="N96">INDEX(Serie!C:C, MATCH("*" &amp; D96 &amp; "*", Serie!B:B, 0))</f>
        <v>10.8</v>
      </c>
      <c r="O96" s="12">
        <v>2.8935185185185184E-4</v>
      </c>
      <c r="Q96" s="13" t="s">
        <v>557</v>
      </c>
      <c r="R96" s="13" t="s">
        <v>558</v>
      </c>
      <c r="S96" s="13" t="s">
        <v>562</v>
      </c>
      <c r="T96" s="13" t="s">
        <v>13</v>
      </c>
      <c r="U96" s="14">
        <f t="array" ref="U96">INDEX(Film!C:C, MATCH("*" &amp; D96 &amp; "*", Film!B:B, 0))</f>
        <v>13.43</v>
      </c>
      <c r="V96" s="15">
        <v>2.314814814814815E-4</v>
      </c>
      <c r="W96" s="16"/>
    </row>
    <row r="97">
      <c r="A97" s="8">
        <v>21.44</v>
      </c>
      <c r="B97" s="9"/>
      <c r="C97" s="9" t="s">
        <v>563</v>
      </c>
      <c r="D97" s="18" t="s">
        <v>564</v>
      </c>
      <c r="E97" s="10" t="s">
        <v>565</v>
      </c>
      <c r="F97" s="9" t="s">
        <v>13</v>
      </c>
      <c r="G97" s="11" t="str">
        <f t="array" ref="G97">INDEX(Adaptatif!C:C, MATCH("*" &amp; D97 &amp; "*", Adaptatif!B:B, 0))</f>
        <v>#N/A</v>
      </c>
      <c r="H97" s="12">
        <v>2.0833333333333335E-4</v>
      </c>
      <c r="J97" s="9" t="s">
        <v>566</v>
      </c>
      <c r="K97" s="9" t="s">
        <v>564</v>
      </c>
      <c r="L97" s="9" t="s">
        <v>15</v>
      </c>
      <c r="M97" s="9" t="s">
        <v>16</v>
      </c>
      <c r="N97" s="11">
        <f t="array" ref="N97">INDEX(Serie!C:C, MATCH("*" &amp; D97 &amp; "*", Serie!B:B, 0))</f>
        <v>10.36</v>
      </c>
      <c r="O97" s="12">
        <v>2.8935185185185184E-4</v>
      </c>
      <c r="Q97" s="13" t="s">
        <v>563</v>
      </c>
      <c r="R97" s="13" t="s">
        <v>564</v>
      </c>
      <c r="S97" s="13" t="s">
        <v>567</v>
      </c>
      <c r="T97" s="13" t="s">
        <v>13</v>
      </c>
      <c r="U97" s="14">
        <f t="array" ref="U97">INDEX(Film!C:C, MATCH("*" &amp; D97 &amp; "*", Film!B:B, 0))</f>
        <v>13.22</v>
      </c>
      <c r="V97" s="15">
        <v>2.199074074074074E-4</v>
      </c>
      <c r="W97" s="16"/>
    </row>
    <row r="98">
      <c r="A98" s="8">
        <v>21.25</v>
      </c>
      <c r="B98" s="9"/>
      <c r="C98" s="9" t="s">
        <v>568</v>
      </c>
      <c r="D98" s="9" t="s">
        <v>569</v>
      </c>
      <c r="E98" s="10" t="s">
        <v>570</v>
      </c>
      <c r="F98" s="9" t="s">
        <v>13</v>
      </c>
      <c r="G98" s="11">
        <f t="array" ref="G98">INDEX(Adaptatif!C:C, MATCH("*" &amp; D98 &amp; "*", Adaptatif!B:B, 0))</f>
        <v>15.34</v>
      </c>
      <c r="H98" s="12">
        <v>2.199074074074074E-4</v>
      </c>
      <c r="J98" s="9" t="s">
        <v>571</v>
      </c>
      <c r="K98" s="9" t="s">
        <v>569</v>
      </c>
      <c r="L98" s="9" t="s">
        <v>572</v>
      </c>
      <c r="M98" s="9" t="s">
        <v>13</v>
      </c>
      <c r="N98" s="11">
        <f t="array" ref="N98">INDEX(Serie!C:C, MATCH("*" &amp; D98 &amp; "*", Serie!B:B, 0))</f>
        <v>10.27</v>
      </c>
      <c r="O98" s="12">
        <v>2.8935185185185184E-4</v>
      </c>
      <c r="Q98" s="13" t="s">
        <v>568</v>
      </c>
      <c r="R98" s="13" t="s">
        <v>569</v>
      </c>
      <c r="S98" s="13" t="s">
        <v>573</v>
      </c>
      <c r="T98" s="13" t="s">
        <v>13</v>
      </c>
      <c r="U98" s="14">
        <f t="array" ref="U98">INDEX(Film!C:C, MATCH("*" &amp; D98 &amp; "*", Film!B:B, 0))</f>
        <v>13.38</v>
      </c>
      <c r="V98" s="15">
        <v>2.199074074074074E-4</v>
      </c>
      <c r="W98" s="16"/>
    </row>
    <row r="99">
      <c r="A99" s="8">
        <v>21.25</v>
      </c>
      <c r="B99" s="9"/>
      <c r="C99" s="9" t="s">
        <v>574</v>
      </c>
      <c r="D99" s="9" t="s">
        <v>575</v>
      </c>
      <c r="E99" s="10" t="s">
        <v>576</v>
      </c>
      <c r="F99" s="9" t="s">
        <v>13</v>
      </c>
      <c r="G99" s="11">
        <f t="array" ref="G99">INDEX(Adaptatif!C:C, MATCH("*" &amp; D99 &amp; "*", Adaptatif!B:B, 0))</f>
        <v>15.03</v>
      </c>
      <c r="H99" s="12">
        <v>2.0833333333333335E-4</v>
      </c>
      <c r="J99" s="9" t="s">
        <v>577</v>
      </c>
      <c r="K99" s="9" t="s">
        <v>575</v>
      </c>
      <c r="L99" s="9" t="s">
        <v>578</v>
      </c>
      <c r="M99" s="9" t="s">
        <v>13</v>
      </c>
      <c r="N99" s="11">
        <f t="array" ref="N99">INDEX(Serie!C:C, MATCH("*" &amp; D99 &amp; "*", Serie!B:B, 0))</f>
        <v>10.96</v>
      </c>
      <c r="O99" s="12">
        <v>3.0092592592592595E-4</v>
      </c>
      <c r="Q99" s="13" t="s">
        <v>574</v>
      </c>
      <c r="R99" s="13" t="s">
        <v>575</v>
      </c>
      <c r="S99" s="13" t="s">
        <v>579</v>
      </c>
      <c r="T99" s="13" t="s">
        <v>13</v>
      </c>
      <c r="U99" s="14">
        <f t="array" ref="U99">INDEX(Film!C:C, MATCH("*" &amp; D99 &amp; "*", Film!B:B, 0))</f>
        <v>13.52</v>
      </c>
      <c r="V99" s="15">
        <v>2.314814814814815E-4</v>
      </c>
      <c r="W99" s="16"/>
    </row>
    <row r="100">
      <c r="A100" s="8">
        <v>21.24</v>
      </c>
      <c r="B100" s="9"/>
      <c r="C100" s="9" t="s">
        <v>580</v>
      </c>
      <c r="D100" s="9" t="s">
        <v>581</v>
      </c>
      <c r="E100" s="10" t="s">
        <v>582</v>
      </c>
      <c r="F100" s="9" t="s">
        <v>13</v>
      </c>
      <c r="G100" s="11">
        <f t="array" ref="G100">INDEX(Adaptatif!C:C, MATCH("*" &amp; D100 &amp; "*", Adaptatif!B:B, 0))</f>
        <v>17.22</v>
      </c>
      <c r="H100" s="12">
        <v>2.0833333333333335E-4</v>
      </c>
      <c r="J100" s="9" t="s">
        <v>583</v>
      </c>
      <c r="K100" s="9" t="s">
        <v>581</v>
      </c>
      <c r="L100" s="9" t="s">
        <v>549</v>
      </c>
      <c r="M100" s="9" t="s">
        <v>13</v>
      </c>
      <c r="N100" s="11">
        <f t="array" ref="N100">INDEX(Serie!C:C, MATCH("*" &amp; D100 &amp; "*", Serie!B:B, 0))</f>
        <v>10.63</v>
      </c>
      <c r="O100" s="12">
        <v>2.777777777777778E-4</v>
      </c>
      <c r="Q100" s="13" t="s">
        <v>580</v>
      </c>
      <c r="R100" s="13" t="s">
        <v>581</v>
      </c>
      <c r="S100" s="13" t="s">
        <v>584</v>
      </c>
      <c r="T100" s="13" t="s">
        <v>13</v>
      </c>
      <c r="U100" s="14">
        <f t="array" ref="U100">INDEX(Film!C:C, MATCH("*" &amp; D100 &amp; "*", Film!B:B, 0))</f>
        <v>13.86</v>
      </c>
      <c r="V100" s="15">
        <v>2.314814814814815E-4</v>
      </c>
      <c r="W100" s="16"/>
    </row>
    <row r="101">
      <c r="A101" s="8">
        <v>21.23</v>
      </c>
      <c r="B101" s="9"/>
      <c r="C101" s="9" t="s">
        <v>585</v>
      </c>
      <c r="D101" s="9" t="s">
        <v>586</v>
      </c>
      <c r="E101" s="10" t="s">
        <v>587</v>
      </c>
      <c r="F101" s="9" t="s">
        <v>13</v>
      </c>
      <c r="G101" s="11">
        <f t="array" ref="G101">INDEX(Adaptatif!C:C, MATCH("*" &amp; D101 &amp; "*", Adaptatif!B:B, 0))</f>
        <v>14.09</v>
      </c>
      <c r="H101" s="12">
        <v>2.199074074074074E-4</v>
      </c>
      <c r="J101" s="9" t="s">
        <v>588</v>
      </c>
      <c r="K101" s="9" t="s">
        <v>586</v>
      </c>
      <c r="L101" s="9" t="s">
        <v>589</v>
      </c>
      <c r="M101" s="9" t="s">
        <v>13</v>
      </c>
      <c r="N101" s="11">
        <f t="array" ref="N101">INDEX(Serie!C:C, MATCH("*" &amp; D101 &amp; "*", Serie!B:B, 0))</f>
        <v>10.54</v>
      </c>
      <c r="O101" s="12">
        <v>2.8935185185185184E-4</v>
      </c>
      <c r="Q101" s="13" t="s">
        <v>585</v>
      </c>
      <c r="R101" s="13" t="s">
        <v>586</v>
      </c>
      <c r="S101" s="13" t="s">
        <v>590</v>
      </c>
      <c r="T101" s="13" t="s">
        <v>13</v>
      </c>
      <c r="U101" s="14">
        <f t="array" ref="U101">INDEX(Film!C:C, MATCH("*" &amp; D101 &amp; "*", Film!B:B, 0))</f>
        <v>13.23</v>
      </c>
      <c r="V101" s="15">
        <v>2.314814814814815E-4</v>
      </c>
      <c r="W101" s="16"/>
    </row>
    <row r="102">
      <c r="A102" s="8">
        <v>21.1</v>
      </c>
      <c r="B102" s="9"/>
      <c r="C102" s="9" t="s">
        <v>591</v>
      </c>
      <c r="D102" s="9" t="s">
        <v>592</v>
      </c>
      <c r="E102" s="10" t="s">
        <v>593</v>
      </c>
      <c r="F102" s="9" t="s">
        <v>13</v>
      </c>
      <c r="G102" s="11">
        <f t="array" ref="G102">INDEX(Adaptatif!C:C, MATCH("*" &amp; D102 &amp; "*", Adaptatif!B:B, 0))</f>
        <v>14.35</v>
      </c>
      <c r="H102" s="12">
        <v>2.199074074074074E-4</v>
      </c>
      <c r="J102" s="9" t="s">
        <v>594</v>
      </c>
      <c r="K102" s="9" t="s">
        <v>592</v>
      </c>
      <c r="L102" s="9" t="s">
        <v>595</v>
      </c>
      <c r="M102" s="9" t="s">
        <v>13</v>
      </c>
      <c r="N102" s="11">
        <f t="array" ref="N102">INDEX(Serie!C:C, MATCH("*" &amp; D102 &amp; "*", Serie!B:B, 0))</f>
        <v>10.34</v>
      </c>
      <c r="O102" s="12">
        <v>2.777777777777778E-4</v>
      </c>
      <c r="Q102" s="13" t="s">
        <v>591</v>
      </c>
      <c r="R102" s="13" t="s">
        <v>592</v>
      </c>
      <c r="S102" s="13" t="s">
        <v>12</v>
      </c>
      <c r="T102" s="13" t="s">
        <v>13</v>
      </c>
      <c r="U102" s="14">
        <f t="array" ref="U102">INDEX(Film!C:C, MATCH("*" &amp; D102 &amp; "*", Film!B:B, 0))</f>
        <v>12.79</v>
      </c>
      <c r="V102" s="15">
        <v>2.199074074074074E-4</v>
      </c>
      <c r="W102" s="16"/>
    </row>
    <row r="103">
      <c r="A103" s="8">
        <v>20.94</v>
      </c>
      <c r="B103" s="9"/>
      <c r="C103" s="9" t="s">
        <v>596</v>
      </c>
      <c r="D103" s="9" t="s">
        <v>597</v>
      </c>
      <c r="E103" s="10" t="s">
        <v>598</v>
      </c>
      <c r="F103" s="9" t="s">
        <v>13</v>
      </c>
      <c r="G103" s="11">
        <f t="array" ref="G103">INDEX(Adaptatif!C:C, MATCH("*" &amp; D103 &amp; "*", Adaptatif!B:B, 0))</f>
        <v>15.97</v>
      </c>
      <c r="H103" s="12">
        <v>2.0833333333333335E-4</v>
      </c>
      <c r="J103" s="9" t="s">
        <v>599</v>
      </c>
      <c r="K103" s="9" t="s">
        <v>597</v>
      </c>
      <c r="L103" s="9" t="s">
        <v>473</v>
      </c>
      <c r="M103" s="9" t="s">
        <v>13</v>
      </c>
      <c r="N103" s="11">
        <f t="array" ref="N103">INDEX(Serie!C:C, MATCH("*" &amp; D103 &amp; "*", Serie!B:B, 0))</f>
        <v>9.94</v>
      </c>
      <c r="O103" s="12">
        <v>2.777777777777778E-4</v>
      </c>
      <c r="Q103" s="13" t="s">
        <v>596</v>
      </c>
      <c r="R103" s="13" t="s">
        <v>597</v>
      </c>
      <c r="S103" s="13" t="s">
        <v>395</v>
      </c>
      <c r="T103" s="13" t="s">
        <v>13</v>
      </c>
      <c r="U103" s="14">
        <f t="array" ref="U103">INDEX(Film!C:C, MATCH("*" &amp; D103 &amp; "*", Film!B:B, 0))</f>
        <v>12.09</v>
      </c>
      <c r="V103" s="15">
        <v>2.4305555555555555E-4</v>
      </c>
      <c r="W103" s="16"/>
    </row>
    <row r="104">
      <c r="A104" s="8">
        <v>20.42</v>
      </c>
      <c r="B104" s="9"/>
      <c r="C104" s="9" t="s">
        <v>600</v>
      </c>
      <c r="D104" s="18" t="s">
        <v>601</v>
      </c>
      <c r="E104" s="9" t="s">
        <v>602</v>
      </c>
      <c r="F104" s="9" t="s">
        <v>13</v>
      </c>
      <c r="G104" s="11">
        <f t="array" ref="G104">INDEX(Adaptatif!C:C, MATCH("*" &amp; D104 &amp; "*", Adaptatif!B:B, 0))</f>
        <v>8.05</v>
      </c>
      <c r="H104" s="12">
        <v>2.199074074074074E-4</v>
      </c>
      <c r="J104" s="9" t="s">
        <v>603</v>
      </c>
      <c r="K104" s="9" t="s">
        <v>601</v>
      </c>
      <c r="L104" s="10" t="s">
        <v>604</v>
      </c>
      <c r="M104" s="9" t="s">
        <v>13</v>
      </c>
      <c r="N104" s="11" t="str">
        <f t="array" ref="N104">INDEX(Serie!C:C, MATCH("*" &amp; D104 &amp; "*", Serie!B:B, 0))</f>
        <v>#N/A</v>
      </c>
      <c r="O104" s="12">
        <v>3.0092592592592595E-4</v>
      </c>
      <c r="Q104" s="13" t="s">
        <v>600</v>
      </c>
      <c r="R104" s="13" t="s">
        <v>601</v>
      </c>
      <c r="S104" s="13" t="s">
        <v>605</v>
      </c>
      <c r="T104" s="13" t="s">
        <v>13</v>
      </c>
      <c r="U104" s="14" t="str">
        <f t="array" ref="U104">INDEX(Film!C:C, MATCH("*" &amp; D104 &amp; "*", Film!B:B, 0))</f>
        <v>#N/A</v>
      </c>
      <c r="V104" s="15">
        <v>2.4305555555555555E-4</v>
      </c>
      <c r="W104" s="16"/>
    </row>
    <row r="105">
      <c r="A105" s="8">
        <v>19.85</v>
      </c>
    </row>
    <row r="106">
      <c r="A106" s="8">
        <v>9.42</v>
      </c>
    </row>
  </sheetData>
  <autoFilter ref="$C$2:$H$104"/>
  <mergeCells count="3">
    <mergeCell ref="C1:H1"/>
    <mergeCell ref="J1:O1"/>
    <mergeCell ref="Q1:V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40.38"/>
    <col customWidth="1" min="3" max="3" width="9.38"/>
    <col customWidth="1" min="4" max="4" width="14.25"/>
  </cols>
  <sheetData>
    <row r="1">
      <c r="A1" s="20" t="s">
        <v>606</v>
      </c>
      <c r="B1" s="20" t="s">
        <v>607</v>
      </c>
      <c r="C1" s="20" t="s">
        <v>608</v>
      </c>
      <c r="D1" s="20" t="s">
        <v>609</v>
      </c>
    </row>
    <row r="2">
      <c r="A2" s="8">
        <v>1.0</v>
      </c>
      <c r="B2" s="8" t="s">
        <v>610</v>
      </c>
      <c r="C2" s="8">
        <v>101.77</v>
      </c>
      <c r="D2" s="21">
        <v>46065.74513888889</v>
      </c>
    </row>
    <row r="3">
      <c r="A3" s="8">
        <v>2.0</v>
      </c>
      <c r="B3" s="8" t="s">
        <v>611</v>
      </c>
      <c r="C3" s="8">
        <v>101.72</v>
      </c>
      <c r="D3" s="21">
        <v>46062.91527777778</v>
      </c>
    </row>
    <row r="4">
      <c r="A4" s="8">
        <v>3.0</v>
      </c>
      <c r="B4" s="8" t="s">
        <v>612</v>
      </c>
      <c r="C4" s="8">
        <v>101.6</v>
      </c>
      <c r="D4" s="21">
        <v>46062.76111111111</v>
      </c>
    </row>
    <row r="5">
      <c r="A5" s="8">
        <v>4.0</v>
      </c>
      <c r="B5" s="8" t="s">
        <v>613</v>
      </c>
      <c r="C5" s="8">
        <v>101.59</v>
      </c>
      <c r="D5" s="21">
        <v>46071.63958333333</v>
      </c>
    </row>
    <row r="6">
      <c r="A6" s="8">
        <v>5.0</v>
      </c>
      <c r="B6" s="8" t="s">
        <v>614</v>
      </c>
      <c r="C6" s="8">
        <v>101.48</v>
      </c>
      <c r="D6" s="21">
        <v>46062.76666666667</v>
      </c>
    </row>
    <row r="7">
      <c r="A7" s="8">
        <v>6.0</v>
      </c>
      <c r="B7" s="8" t="s">
        <v>615</v>
      </c>
      <c r="C7" s="8">
        <v>101.45</v>
      </c>
      <c r="D7" s="21">
        <v>46056.73263888889</v>
      </c>
    </row>
    <row r="8">
      <c r="A8" s="8">
        <v>7.0</v>
      </c>
      <c r="B8" s="8" t="s">
        <v>616</v>
      </c>
      <c r="C8" s="8">
        <v>101.44</v>
      </c>
      <c r="D8" s="21">
        <v>46048.82916666667</v>
      </c>
    </row>
    <row r="9">
      <c r="A9" s="8">
        <v>8.0</v>
      </c>
      <c r="B9" s="8" t="s">
        <v>617</v>
      </c>
      <c r="C9" s="8">
        <v>101.42</v>
      </c>
      <c r="D9" s="21">
        <v>46068.84722222222</v>
      </c>
    </row>
    <row r="10">
      <c r="A10" s="8">
        <v>9.0</v>
      </c>
      <c r="B10" s="8" t="s">
        <v>618</v>
      </c>
      <c r="C10" s="8">
        <v>101.25</v>
      </c>
      <c r="D10" s="21">
        <v>46065.72222222222</v>
      </c>
    </row>
    <row r="11">
      <c r="A11" s="8">
        <v>10.0</v>
      </c>
      <c r="B11" s="8" t="s">
        <v>619</v>
      </c>
      <c r="C11" s="8">
        <v>101.22</v>
      </c>
      <c r="D11" s="21">
        <v>46065.75069444445</v>
      </c>
    </row>
    <row r="12">
      <c r="A12" s="8">
        <v>11.0</v>
      </c>
      <c r="B12" s="8" t="s">
        <v>620</v>
      </c>
      <c r="C12" s="8">
        <v>101.19</v>
      </c>
      <c r="D12" s="21">
        <v>46049.811111111114</v>
      </c>
    </row>
    <row r="13">
      <c r="A13" s="8">
        <v>12.0</v>
      </c>
      <c r="B13" s="8" t="s">
        <v>621</v>
      </c>
      <c r="C13" s="8">
        <v>101.05</v>
      </c>
      <c r="D13" s="21">
        <v>46071.65416666667</v>
      </c>
    </row>
    <row r="14">
      <c r="A14" s="8">
        <v>13.0</v>
      </c>
      <c r="B14" s="8" t="s">
        <v>622</v>
      </c>
      <c r="C14" s="8">
        <v>101.03</v>
      </c>
      <c r="D14" s="21">
        <v>46048.825694444444</v>
      </c>
    </row>
    <row r="15">
      <c r="A15" s="8">
        <v>14.0</v>
      </c>
      <c r="B15" s="8" t="s">
        <v>623</v>
      </c>
      <c r="C15" s="8">
        <v>100.93</v>
      </c>
      <c r="D15" s="21">
        <v>46071.73888888889</v>
      </c>
    </row>
    <row r="16">
      <c r="A16" s="8">
        <v>15.0</v>
      </c>
      <c r="B16" s="8" t="s">
        <v>624</v>
      </c>
      <c r="C16" s="8">
        <v>100.92</v>
      </c>
      <c r="D16" s="21">
        <v>46049.978472222225</v>
      </c>
    </row>
    <row r="17">
      <c r="A17" s="8">
        <v>16.0</v>
      </c>
      <c r="B17" s="8" t="s">
        <v>625</v>
      </c>
      <c r="C17" s="8">
        <v>100.86</v>
      </c>
      <c r="D17" s="21">
        <v>46062.944444444445</v>
      </c>
    </row>
    <row r="18">
      <c r="A18" s="8">
        <v>17.0</v>
      </c>
      <c r="B18" s="8" t="s">
        <v>626</v>
      </c>
      <c r="C18" s="8">
        <v>100.8</v>
      </c>
      <c r="D18" s="21">
        <v>46058.959027777775</v>
      </c>
    </row>
    <row r="19">
      <c r="A19" s="8">
        <v>18.0</v>
      </c>
      <c r="B19" s="8" t="s">
        <v>627</v>
      </c>
      <c r="C19" s="8">
        <v>100.76</v>
      </c>
      <c r="D19" s="21">
        <v>46050.78333333333</v>
      </c>
    </row>
    <row r="20">
      <c r="A20" s="8">
        <v>19.0</v>
      </c>
      <c r="B20" s="8" t="s">
        <v>628</v>
      </c>
      <c r="C20" s="8">
        <v>100.44</v>
      </c>
      <c r="D20" s="21">
        <v>46058.93402777778</v>
      </c>
    </row>
    <row r="21">
      <c r="A21" s="8">
        <v>20.0</v>
      </c>
      <c r="B21" s="8" t="s">
        <v>629</v>
      </c>
      <c r="C21" s="8">
        <v>99.9</v>
      </c>
      <c r="D21" s="21">
        <v>46064.69583333333</v>
      </c>
    </row>
    <row r="22">
      <c r="A22" s="8">
        <v>21.0</v>
      </c>
      <c r="B22" s="8" t="s">
        <v>630</v>
      </c>
      <c r="C22" s="8">
        <v>99.76</v>
      </c>
      <c r="D22" s="21">
        <v>46065.72152777778</v>
      </c>
    </row>
    <row r="23">
      <c r="A23" s="8">
        <v>22.0</v>
      </c>
      <c r="B23" s="8" t="s">
        <v>631</v>
      </c>
      <c r="C23" s="8">
        <v>99.72</v>
      </c>
      <c r="D23" s="21">
        <v>46063.87430555555</v>
      </c>
    </row>
    <row r="24">
      <c r="A24" s="8">
        <v>23.0</v>
      </c>
      <c r="B24" s="8" t="s">
        <v>632</v>
      </c>
      <c r="C24" s="8">
        <v>98.37</v>
      </c>
      <c r="D24" s="21">
        <v>46062.75763888889</v>
      </c>
    </row>
    <row r="25">
      <c r="A25" s="8">
        <v>24.0</v>
      </c>
      <c r="B25" s="8" t="s">
        <v>633</v>
      </c>
      <c r="C25" s="8">
        <v>97.74</v>
      </c>
      <c r="D25" s="21">
        <v>46062.9125</v>
      </c>
    </row>
    <row r="26">
      <c r="A26" s="8">
        <v>25.0</v>
      </c>
      <c r="B26" s="8" t="s">
        <v>634</v>
      </c>
      <c r="C26" s="8">
        <v>97.01</v>
      </c>
      <c r="D26" s="21">
        <v>46061.85972222222</v>
      </c>
    </row>
    <row r="27">
      <c r="A27" s="8">
        <v>26.0</v>
      </c>
      <c r="B27" s="8" t="s">
        <v>635</v>
      </c>
      <c r="C27" s="8">
        <v>96.92</v>
      </c>
      <c r="D27" s="21">
        <v>46071.73402777778</v>
      </c>
    </row>
    <row r="28">
      <c r="A28" s="8">
        <v>27.0</v>
      </c>
      <c r="B28" s="8" t="s">
        <v>636</v>
      </c>
      <c r="C28" s="8">
        <v>95.52</v>
      </c>
      <c r="D28" s="21">
        <v>46064.751388888886</v>
      </c>
    </row>
    <row r="29">
      <c r="A29" s="8">
        <v>28.0</v>
      </c>
      <c r="B29" s="8" t="s">
        <v>637</v>
      </c>
      <c r="C29" s="8">
        <v>93.83</v>
      </c>
      <c r="D29" s="21">
        <v>46060.654861111114</v>
      </c>
    </row>
    <row r="30">
      <c r="A30" s="8">
        <v>29.0</v>
      </c>
      <c r="B30" s="8" t="s">
        <v>638</v>
      </c>
      <c r="C30" s="8">
        <v>93.59</v>
      </c>
      <c r="D30" s="21">
        <v>46071.6375</v>
      </c>
    </row>
    <row r="31">
      <c r="A31" s="8">
        <v>30.0</v>
      </c>
      <c r="B31" s="8" t="s">
        <v>639</v>
      </c>
      <c r="C31" s="8">
        <v>93.43</v>
      </c>
      <c r="D31" s="21">
        <v>46058.93263888889</v>
      </c>
    </row>
    <row r="32">
      <c r="A32" s="8">
        <v>31.0</v>
      </c>
      <c r="B32" s="8" t="s">
        <v>640</v>
      </c>
      <c r="C32" s="8">
        <v>93.08</v>
      </c>
      <c r="D32" s="21">
        <v>46072.771527777775</v>
      </c>
    </row>
    <row r="33">
      <c r="A33" s="8">
        <v>32.0</v>
      </c>
      <c r="B33" s="8" t="s">
        <v>641</v>
      </c>
      <c r="C33" s="8">
        <v>92.97</v>
      </c>
      <c r="D33" s="21">
        <v>46071.94097222222</v>
      </c>
    </row>
    <row r="34">
      <c r="A34" s="8">
        <v>33.0</v>
      </c>
      <c r="B34" s="8" t="s">
        <v>642</v>
      </c>
      <c r="C34" s="8">
        <v>92.85</v>
      </c>
      <c r="D34" s="21">
        <v>46069.9125</v>
      </c>
    </row>
    <row r="35">
      <c r="A35" s="8">
        <v>34.0</v>
      </c>
      <c r="B35" s="8" t="s">
        <v>643</v>
      </c>
      <c r="C35" s="8">
        <v>91.71</v>
      </c>
      <c r="D35" s="21">
        <v>46070.90347222222</v>
      </c>
    </row>
    <row r="36">
      <c r="A36" s="8">
        <v>35.0</v>
      </c>
      <c r="B36" s="8" t="s">
        <v>644</v>
      </c>
      <c r="C36" s="8">
        <v>90.75</v>
      </c>
      <c r="D36" s="21">
        <v>46135.96111111111</v>
      </c>
    </row>
    <row r="37">
      <c r="A37" s="8">
        <v>36.0</v>
      </c>
      <c r="B37" s="8" t="s">
        <v>645</v>
      </c>
      <c r="C37" s="8">
        <v>90.51</v>
      </c>
      <c r="D37" s="21">
        <v>46135.96111111111</v>
      </c>
    </row>
    <row r="38">
      <c r="A38" s="8">
        <v>37.0</v>
      </c>
      <c r="B38" s="8" t="s">
        <v>646</v>
      </c>
      <c r="C38" s="8">
        <v>90.31</v>
      </c>
      <c r="D38" s="21">
        <v>46135.96111111111</v>
      </c>
    </row>
    <row r="39">
      <c r="A39" s="8">
        <v>38.0</v>
      </c>
      <c r="B39" s="8" t="s">
        <v>647</v>
      </c>
      <c r="C39" s="8">
        <v>90.28</v>
      </c>
      <c r="D39" s="21">
        <v>46135.96111111111</v>
      </c>
    </row>
    <row r="40">
      <c r="A40" s="8">
        <v>39.0</v>
      </c>
      <c r="B40" s="8" t="s">
        <v>648</v>
      </c>
      <c r="C40" s="8">
        <v>90.11</v>
      </c>
      <c r="D40" s="21">
        <v>46135.96111111111</v>
      </c>
    </row>
    <row r="41">
      <c r="A41" s="8">
        <v>40.0</v>
      </c>
      <c r="B41" s="8" t="s">
        <v>649</v>
      </c>
      <c r="C41" s="8">
        <v>89.29</v>
      </c>
      <c r="D41" s="21">
        <v>46072.771527777775</v>
      </c>
    </row>
    <row r="42">
      <c r="A42" s="8">
        <v>41.0</v>
      </c>
      <c r="B42" s="8" t="s">
        <v>650</v>
      </c>
      <c r="C42" s="8">
        <v>87.71</v>
      </c>
      <c r="D42" s="21">
        <v>46068.777083333334</v>
      </c>
    </row>
    <row r="43">
      <c r="A43" s="8">
        <v>42.0</v>
      </c>
      <c r="B43" s="8" t="s">
        <v>651</v>
      </c>
      <c r="C43" s="8">
        <v>87.7</v>
      </c>
      <c r="D43" s="21">
        <v>46056.73125</v>
      </c>
    </row>
    <row r="44">
      <c r="A44" s="8">
        <v>43.0</v>
      </c>
      <c r="B44" s="8" t="s">
        <v>652</v>
      </c>
      <c r="C44" s="8">
        <v>87.12</v>
      </c>
      <c r="D44" s="21">
        <v>46073.729166666664</v>
      </c>
    </row>
    <row r="45">
      <c r="A45" s="8">
        <v>44.0</v>
      </c>
      <c r="B45" s="8" t="s">
        <v>653</v>
      </c>
      <c r="C45" s="8">
        <v>86.99</v>
      </c>
      <c r="D45" s="21">
        <v>46054.788194444445</v>
      </c>
    </row>
    <row r="46">
      <c r="A46" s="8">
        <v>45.0</v>
      </c>
      <c r="B46" s="8" t="s">
        <v>654</v>
      </c>
      <c r="C46" s="8">
        <v>85.67</v>
      </c>
      <c r="D46" s="21">
        <v>46056.73125</v>
      </c>
    </row>
    <row r="47">
      <c r="A47" s="8">
        <v>46.0</v>
      </c>
      <c r="B47" s="8" t="s">
        <v>655</v>
      </c>
      <c r="C47" s="8">
        <v>82.92</v>
      </c>
      <c r="D47" s="21">
        <v>46054.69930555556</v>
      </c>
    </row>
    <row r="48">
      <c r="A48" s="8">
        <v>47.0</v>
      </c>
      <c r="B48" s="8" t="s">
        <v>656</v>
      </c>
      <c r="C48" s="8">
        <v>81.22</v>
      </c>
      <c r="D48" s="21">
        <v>46039.705555555556</v>
      </c>
    </row>
    <row r="49">
      <c r="A49" s="8">
        <v>48.0</v>
      </c>
      <c r="B49" s="8" t="s">
        <v>657</v>
      </c>
      <c r="C49" s="8">
        <v>80.67</v>
      </c>
      <c r="D49" s="21">
        <v>46026.680555555555</v>
      </c>
    </row>
    <row r="50">
      <c r="A50" s="8">
        <v>49.0</v>
      </c>
      <c r="B50" s="8" t="s">
        <v>658</v>
      </c>
      <c r="C50" s="8">
        <v>79.65</v>
      </c>
      <c r="D50" s="21">
        <v>46042.919444444444</v>
      </c>
    </row>
    <row r="51">
      <c r="A51" s="8">
        <v>50.0</v>
      </c>
      <c r="B51" s="8" t="s">
        <v>659</v>
      </c>
      <c r="C51" s="8">
        <v>78.53</v>
      </c>
      <c r="D51" s="21">
        <v>46043.84444444445</v>
      </c>
    </row>
    <row r="52">
      <c r="A52" s="8">
        <v>51.0</v>
      </c>
      <c r="B52" s="8" t="s">
        <v>660</v>
      </c>
      <c r="C52" s="8">
        <v>78.44</v>
      </c>
      <c r="D52" s="21">
        <v>46020.99791666667</v>
      </c>
    </row>
    <row r="53">
      <c r="A53" s="8">
        <v>52.0</v>
      </c>
      <c r="B53" s="8" t="s">
        <v>661</v>
      </c>
      <c r="C53" s="8">
        <v>77.97</v>
      </c>
      <c r="D53" s="21">
        <v>46050.76875</v>
      </c>
    </row>
    <row r="54">
      <c r="A54" s="8">
        <v>53.0</v>
      </c>
      <c r="B54" s="8" t="s">
        <v>662</v>
      </c>
      <c r="C54" s="8">
        <v>77.72</v>
      </c>
      <c r="D54" s="21">
        <v>46041.83194444444</v>
      </c>
    </row>
    <row r="55">
      <c r="A55" s="8">
        <v>54.0</v>
      </c>
      <c r="B55" s="8" t="s">
        <v>663</v>
      </c>
      <c r="C55" s="8">
        <v>77.52</v>
      </c>
      <c r="D55" s="21">
        <v>46020.93819444445</v>
      </c>
    </row>
    <row r="56">
      <c r="A56" s="8">
        <v>55.0</v>
      </c>
      <c r="B56" s="8" t="s">
        <v>664</v>
      </c>
      <c r="C56" s="8">
        <v>77.48</v>
      </c>
      <c r="D56" s="21">
        <v>46044.933333333334</v>
      </c>
    </row>
    <row r="57">
      <c r="A57" s="8">
        <v>56.0</v>
      </c>
      <c r="B57" s="8" t="s">
        <v>665</v>
      </c>
      <c r="C57" s="8">
        <v>77.44</v>
      </c>
      <c r="D57" s="21">
        <v>46020.94027777778</v>
      </c>
    </row>
    <row r="58">
      <c r="A58" s="8">
        <v>57.0</v>
      </c>
      <c r="B58" s="8" t="s">
        <v>666</v>
      </c>
      <c r="C58" s="8">
        <v>77.4</v>
      </c>
      <c r="D58" s="21">
        <v>46046.84722222222</v>
      </c>
    </row>
    <row r="59">
      <c r="A59" s="8">
        <v>58.0</v>
      </c>
      <c r="B59" s="8" t="s">
        <v>667</v>
      </c>
      <c r="C59" s="8">
        <v>77.22</v>
      </c>
      <c r="D59" s="21">
        <v>46041.83194444444</v>
      </c>
    </row>
    <row r="60">
      <c r="A60" s="8">
        <v>59.0</v>
      </c>
      <c r="B60" s="8" t="s">
        <v>668</v>
      </c>
      <c r="C60" s="8">
        <v>77.14</v>
      </c>
      <c r="D60" s="21">
        <v>46020.96597222222</v>
      </c>
    </row>
    <row r="61">
      <c r="A61" s="8">
        <v>60.0</v>
      </c>
      <c r="B61" s="8" t="s">
        <v>669</v>
      </c>
      <c r="C61" s="8">
        <v>77.12</v>
      </c>
      <c r="D61" s="21">
        <v>46049.80694444444</v>
      </c>
    </row>
    <row r="62">
      <c r="A62" s="8">
        <v>61.0</v>
      </c>
      <c r="B62" s="8" t="s">
        <v>670</v>
      </c>
      <c r="C62" s="8">
        <v>77.09</v>
      </c>
      <c r="D62" s="21">
        <v>46038.8375</v>
      </c>
    </row>
    <row r="63">
      <c r="A63" s="8">
        <v>62.0</v>
      </c>
      <c r="B63" s="8" t="s">
        <v>671</v>
      </c>
      <c r="C63" s="8">
        <v>76.84</v>
      </c>
      <c r="D63" s="21">
        <v>46043.895833333336</v>
      </c>
    </row>
    <row r="64">
      <c r="A64" s="8">
        <v>63.0</v>
      </c>
      <c r="B64" s="8" t="s">
        <v>672</v>
      </c>
      <c r="C64" s="8">
        <v>76.82</v>
      </c>
      <c r="D64" s="21">
        <v>46048.78680555556</v>
      </c>
    </row>
    <row r="65">
      <c r="A65" s="8">
        <v>64.0</v>
      </c>
      <c r="B65" s="8" t="s">
        <v>673</v>
      </c>
      <c r="C65" s="8">
        <v>76.57</v>
      </c>
      <c r="D65" s="21">
        <v>46047.720138888886</v>
      </c>
    </row>
    <row r="66">
      <c r="A66" s="8">
        <v>65.0</v>
      </c>
      <c r="B66" s="8" t="s">
        <v>674</v>
      </c>
      <c r="C66" s="8">
        <v>76.55</v>
      </c>
      <c r="D66" s="21">
        <v>46039.691666666666</v>
      </c>
    </row>
    <row r="67">
      <c r="A67" s="8">
        <v>66.0</v>
      </c>
      <c r="B67" s="8" t="s">
        <v>675</v>
      </c>
      <c r="C67" s="8">
        <v>76.37</v>
      </c>
      <c r="D67" s="21">
        <v>46046.82638888889</v>
      </c>
    </row>
    <row r="68">
      <c r="A68" s="8">
        <v>67.0</v>
      </c>
      <c r="B68" s="8" t="s">
        <v>676</v>
      </c>
      <c r="C68" s="8">
        <v>76.34</v>
      </c>
      <c r="D68" s="21">
        <v>46024.847916666666</v>
      </c>
    </row>
    <row r="69">
      <c r="A69" s="8">
        <v>68.0</v>
      </c>
      <c r="B69" s="8" t="s">
        <v>677</v>
      </c>
      <c r="C69" s="8">
        <v>76.13</v>
      </c>
      <c r="D69" s="21">
        <v>46009.94652777778</v>
      </c>
    </row>
    <row r="70">
      <c r="A70" s="8">
        <v>69.0</v>
      </c>
      <c r="B70" s="8" t="s">
        <v>678</v>
      </c>
      <c r="C70" s="8">
        <v>76.12</v>
      </c>
      <c r="D70" s="21">
        <v>46009.73611111111</v>
      </c>
    </row>
    <row r="71">
      <c r="A71" s="8">
        <v>70.0</v>
      </c>
      <c r="B71" s="8" t="s">
        <v>679</v>
      </c>
      <c r="C71" s="8">
        <v>76.07</v>
      </c>
      <c r="D71" s="21">
        <v>46020.97083333333</v>
      </c>
    </row>
    <row r="72">
      <c r="A72" s="8">
        <v>71.0</v>
      </c>
      <c r="B72" s="8" t="s">
        <v>680</v>
      </c>
      <c r="C72" s="8">
        <v>74.65</v>
      </c>
      <c r="D72" s="21">
        <v>46009.90555555555</v>
      </c>
    </row>
    <row r="73">
      <c r="A73" s="8">
        <v>72.0</v>
      </c>
      <c r="B73" s="8" t="s">
        <v>681</v>
      </c>
      <c r="C73" s="8">
        <v>74.36</v>
      </c>
      <c r="D73" s="21">
        <v>46009.90833333333</v>
      </c>
    </row>
    <row r="74">
      <c r="A74" s="8">
        <v>73.0</v>
      </c>
      <c r="B74" s="8" t="s">
        <v>682</v>
      </c>
      <c r="C74" s="8">
        <v>74.34</v>
      </c>
      <c r="D74" s="21">
        <v>46034.92361111111</v>
      </c>
    </row>
    <row r="75">
      <c r="A75" s="8">
        <v>74.0</v>
      </c>
      <c r="B75" s="8" t="s">
        <v>683</v>
      </c>
      <c r="C75" s="8">
        <v>39.5</v>
      </c>
      <c r="D75" s="21">
        <v>46077.777083333334</v>
      </c>
    </row>
    <row r="76">
      <c r="A76" s="8">
        <v>75.0</v>
      </c>
      <c r="B76" s="8" t="s">
        <v>684</v>
      </c>
      <c r="C76" s="8">
        <v>38.34</v>
      </c>
      <c r="D76" s="21">
        <v>46077.777083333334</v>
      </c>
    </row>
    <row r="77">
      <c r="A77" s="8">
        <v>76.0</v>
      </c>
      <c r="B77" s="8" t="s">
        <v>685</v>
      </c>
      <c r="C77" s="8">
        <v>37.73</v>
      </c>
      <c r="D77" s="21">
        <v>46112.91458333333</v>
      </c>
    </row>
    <row r="78">
      <c r="A78" s="8">
        <v>77.0</v>
      </c>
      <c r="B78" s="8" t="s">
        <v>686</v>
      </c>
      <c r="C78" s="8">
        <v>36.31</v>
      </c>
      <c r="D78" s="21">
        <v>46077.777083333334</v>
      </c>
    </row>
    <row r="79">
      <c r="A79" s="8">
        <v>78.0</v>
      </c>
      <c r="B79" s="8" t="s">
        <v>687</v>
      </c>
      <c r="C79" s="8">
        <v>26.81</v>
      </c>
      <c r="D79" s="21">
        <v>46153.91875</v>
      </c>
    </row>
    <row r="80">
      <c r="A80" s="8">
        <v>79.0</v>
      </c>
      <c r="B80" s="8" t="s">
        <v>688</v>
      </c>
      <c r="C80" s="8">
        <v>24.01</v>
      </c>
      <c r="D80" s="21">
        <v>46153.910416666666</v>
      </c>
    </row>
    <row r="81">
      <c r="A81" s="8">
        <v>80.0</v>
      </c>
      <c r="B81" s="8" t="s">
        <v>689</v>
      </c>
      <c r="C81" s="8">
        <v>23.33</v>
      </c>
      <c r="D81" s="21">
        <v>46153.95486111111</v>
      </c>
    </row>
    <row r="82">
      <c r="A82" s="8">
        <v>81.0</v>
      </c>
      <c r="B82" s="8" t="s">
        <v>690</v>
      </c>
      <c r="C82" s="8">
        <v>23.3</v>
      </c>
      <c r="D82" s="21">
        <v>46125.88055555556</v>
      </c>
    </row>
    <row r="83">
      <c r="A83" s="8">
        <v>82.0</v>
      </c>
      <c r="B83" s="8" t="s">
        <v>691</v>
      </c>
      <c r="C83" s="8">
        <v>23.29</v>
      </c>
      <c r="D83" s="21">
        <v>46129.94305555556</v>
      </c>
    </row>
    <row r="84">
      <c r="A84" s="8">
        <v>83.0</v>
      </c>
      <c r="B84" s="8" t="s">
        <v>692</v>
      </c>
      <c r="C84" s="8">
        <v>23.27</v>
      </c>
      <c r="D84" s="21">
        <v>46153.958333333336</v>
      </c>
    </row>
    <row r="85">
      <c r="A85" s="8">
        <v>84.0</v>
      </c>
      <c r="B85" s="8" t="s">
        <v>693</v>
      </c>
      <c r="C85" s="8">
        <v>23.18</v>
      </c>
      <c r="D85" s="21">
        <v>46153.87152777778</v>
      </c>
    </row>
    <row r="86">
      <c r="A86" s="8">
        <v>85.0</v>
      </c>
      <c r="B86" s="8" t="s">
        <v>694</v>
      </c>
      <c r="C86" s="8">
        <v>22.87</v>
      </c>
      <c r="D86" s="21">
        <v>46108.970138888886</v>
      </c>
    </row>
    <row r="87">
      <c r="A87" s="8">
        <v>86.0</v>
      </c>
      <c r="B87" s="8" t="s">
        <v>695</v>
      </c>
      <c r="C87" s="8">
        <v>22.86</v>
      </c>
      <c r="D87" s="21">
        <v>46105.94861111111</v>
      </c>
    </row>
    <row r="88">
      <c r="A88" s="8">
        <v>87.0</v>
      </c>
      <c r="B88" s="8" t="s">
        <v>696</v>
      </c>
      <c r="C88" s="8">
        <v>22.84</v>
      </c>
      <c r="D88" s="21">
        <v>46153.875</v>
      </c>
    </row>
    <row r="89">
      <c r="A89" s="8">
        <v>88.0</v>
      </c>
      <c r="B89" s="8" t="s">
        <v>697</v>
      </c>
      <c r="C89" s="8">
        <v>22.55</v>
      </c>
      <c r="D89" s="21">
        <v>46125.96041666667</v>
      </c>
    </row>
    <row r="90">
      <c r="A90" s="8">
        <v>89.0</v>
      </c>
      <c r="B90" s="8" t="s">
        <v>698</v>
      </c>
      <c r="C90" s="8">
        <v>22.27</v>
      </c>
      <c r="D90" s="21">
        <v>46118.95972222222</v>
      </c>
    </row>
    <row r="91">
      <c r="A91" s="8">
        <v>90.0</v>
      </c>
      <c r="B91" s="8" t="s">
        <v>699</v>
      </c>
      <c r="C91" s="8">
        <v>22.0</v>
      </c>
      <c r="D91" s="21">
        <v>46131.71527777778</v>
      </c>
    </row>
    <row r="92">
      <c r="A92" s="8">
        <v>91.0</v>
      </c>
      <c r="B92" s="8" t="s">
        <v>700</v>
      </c>
      <c r="C92" s="8">
        <v>21.85</v>
      </c>
      <c r="D92" s="21">
        <v>46123.92847222222</v>
      </c>
    </row>
    <row r="93">
      <c r="A93" s="8">
        <v>92.0</v>
      </c>
      <c r="B93" s="8" t="s">
        <v>701</v>
      </c>
      <c r="C93" s="8">
        <v>21.74</v>
      </c>
      <c r="D93" s="21">
        <v>46153.90694444445</v>
      </c>
    </row>
    <row r="94">
      <c r="A94" s="8">
        <v>93.0</v>
      </c>
      <c r="B94" s="8" t="s">
        <v>702</v>
      </c>
      <c r="C94" s="8">
        <v>21.67</v>
      </c>
      <c r="D94" s="21">
        <v>46153.86319444444</v>
      </c>
    </row>
    <row r="95">
      <c r="A95" s="8">
        <v>94.0</v>
      </c>
      <c r="B95" s="8" t="s">
        <v>703</v>
      </c>
      <c r="C95" s="8">
        <v>21.54</v>
      </c>
      <c r="D95" s="21">
        <v>46153.9125</v>
      </c>
    </row>
    <row r="96">
      <c r="A96" s="8">
        <v>95.0</v>
      </c>
      <c r="B96" s="8" t="s">
        <v>704</v>
      </c>
      <c r="C96" s="8">
        <v>21.44</v>
      </c>
      <c r="D96" s="21">
        <v>46129.93402777778</v>
      </c>
    </row>
    <row r="97">
      <c r="A97" s="8">
        <v>96.0</v>
      </c>
      <c r="B97" s="8" t="s">
        <v>705</v>
      </c>
      <c r="C97" s="8">
        <v>21.25</v>
      </c>
      <c r="D97" s="21">
        <v>46131.66805555556</v>
      </c>
    </row>
    <row r="98">
      <c r="A98" s="8">
        <v>97.0</v>
      </c>
      <c r="B98" s="8" t="s">
        <v>706</v>
      </c>
      <c r="C98" s="8">
        <v>21.25</v>
      </c>
      <c r="D98" s="21">
        <v>46118.95208333333</v>
      </c>
    </row>
    <row r="99">
      <c r="A99" s="8">
        <v>98.0</v>
      </c>
      <c r="B99" s="8" t="s">
        <v>707</v>
      </c>
      <c r="C99" s="8">
        <v>21.24</v>
      </c>
      <c r="D99" s="21">
        <v>46153.95208333333</v>
      </c>
    </row>
    <row r="100">
      <c r="A100" s="8">
        <v>99.0</v>
      </c>
      <c r="B100" s="8" t="s">
        <v>708</v>
      </c>
      <c r="C100" s="8">
        <v>21.23</v>
      </c>
      <c r="D100" s="21">
        <v>46125.958333333336</v>
      </c>
    </row>
    <row r="101">
      <c r="A101" s="8">
        <v>100.0</v>
      </c>
      <c r="B101" s="8" t="s">
        <v>709</v>
      </c>
      <c r="C101" s="8">
        <v>21.1</v>
      </c>
      <c r="D101" s="21">
        <v>46154.59444444445</v>
      </c>
    </row>
    <row r="102">
      <c r="A102" s="8">
        <v>101.0</v>
      </c>
      <c r="B102" s="8" t="s">
        <v>710</v>
      </c>
      <c r="C102" s="8">
        <v>20.94</v>
      </c>
      <c r="D102" s="21">
        <v>46154.59652777778</v>
      </c>
    </row>
    <row r="103">
      <c r="A103" s="8">
        <v>102.0</v>
      </c>
      <c r="B103" s="8" t="s">
        <v>711</v>
      </c>
      <c r="C103" s="8">
        <v>20.42</v>
      </c>
      <c r="D103" s="21">
        <v>46118.95347222222</v>
      </c>
    </row>
    <row r="104">
      <c r="A104" s="8">
        <v>103.0</v>
      </c>
      <c r="B104" s="8" t="s">
        <v>712</v>
      </c>
      <c r="C104" s="8">
        <v>19.85</v>
      </c>
      <c r="D104" s="21">
        <v>46125.893055555556</v>
      </c>
    </row>
    <row r="105">
      <c r="A105" s="8">
        <v>104.0</v>
      </c>
      <c r="B105" s="8" t="s">
        <v>713</v>
      </c>
      <c r="C105" s="8">
        <v>9.42</v>
      </c>
      <c r="D105" s="21">
        <v>46093.96111111111</v>
      </c>
    </row>
    <row r="106">
      <c r="A106" s="22"/>
      <c r="B106" s="23"/>
      <c r="C106" s="23"/>
      <c r="D106" s="2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44.5"/>
    <col customWidth="1" min="3" max="3" width="9.38"/>
    <col customWidth="1" min="4" max="4" width="14.25"/>
  </cols>
  <sheetData>
    <row r="1">
      <c r="A1" s="20" t="s">
        <v>606</v>
      </c>
      <c r="B1" s="20" t="s">
        <v>607</v>
      </c>
      <c r="C1" s="20" t="s">
        <v>608</v>
      </c>
      <c r="D1" s="20" t="s">
        <v>609</v>
      </c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8">
        <v>1.0</v>
      </c>
      <c r="B2" s="8" t="s">
        <v>714</v>
      </c>
      <c r="C2" s="8">
        <v>27.3</v>
      </c>
      <c r="D2" s="21">
        <v>46009.73611111111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8">
        <v>2.0</v>
      </c>
      <c r="B3" s="8" t="s">
        <v>715</v>
      </c>
      <c r="C3" s="8">
        <v>37.03</v>
      </c>
      <c r="D3" s="21">
        <v>46009.90555555555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8">
        <v>3.0</v>
      </c>
      <c r="B4" s="8" t="s">
        <v>716</v>
      </c>
      <c r="C4" s="8">
        <v>24.86</v>
      </c>
      <c r="D4" s="21">
        <v>46009.90833333333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8">
        <v>4.0</v>
      </c>
      <c r="B5" s="8" t="s">
        <v>717</v>
      </c>
      <c r="C5" s="8">
        <v>17.42</v>
      </c>
      <c r="D5" s="21">
        <v>46009.94652777778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8">
        <v>5.0</v>
      </c>
      <c r="B6" s="8" t="s">
        <v>718</v>
      </c>
      <c r="C6" s="8">
        <v>20.15</v>
      </c>
      <c r="D6" s="21">
        <v>46077.777083333334</v>
      </c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8">
        <v>6.0</v>
      </c>
      <c r="B7" s="8" t="s">
        <v>719</v>
      </c>
      <c r="C7" s="8">
        <v>9.18</v>
      </c>
      <c r="D7" s="21">
        <v>46077.777083333334</v>
      </c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8">
        <v>7.0</v>
      </c>
      <c r="B8" s="8" t="s">
        <v>720</v>
      </c>
      <c r="C8" s="8">
        <v>53.25</v>
      </c>
      <c r="D8" s="21">
        <v>46020.93819444445</v>
      </c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8">
        <v>8.0</v>
      </c>
      <c r="B9" s="8" t="s">
        <v>721</v>
      </c>
      <c r="C9" s="8">
        <v>46.85</v>
      </c>
      <c r="D9" s="21">
        <v>46020.94027777778</v>
      </c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8">
        <v>9.0</v>
      </c>
      <c r="B10" s="8" t="s">
        <v>722</v>
      </c>
      <c r="C10" s="8">
        <v>49.72</v>
      </c>
      <c r="D10" s="21">
        <v>46020.96597222222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8">
        <v>10.0</v>
      </c>
      <c r="B11" s="8" t="s">
        <v>723</v>
      </c>
      <c r="C11" s="8">
        <v>40.01</v>
      </c>
      <c r="D11" s="21">
        <v>46020.97083333333</v>
      </c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8">
        <v>11.0</v>
      </c>
      <c r="B12" s="8" t="s">
        <v>724</v>
      </c>
      <c r="C12" s="8">
        <v>42.3</v>
      </c>
      <c r="D12" s="21">
        <v>46020.99791666667</v>
      </c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8">
        <v>12.0</v>
      </c>
      <c r="B13" s="8" t="s">
        <v>725</v>
      </c>
      <c r="C13" s="8">
        <v>49.1</v>
      </c>
      <c r="D13" s="21">
        <v>46024.847916666666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8">
        <v>13.0</v>
      </c>
      <c r="B14" s="8" t="s">
        <v>726</v>
      </c>
      <c r="C14" s="8">
        <v>56.11</v>
      </c>
      <c r="D14" s="21">
        <v>46026.680555555555</v>
      </c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8">
        <v>14.0</v>
      </c>
      <c r="B15" s="8" t="s">
        <v>727</v>
      </c>
      <c r="C15" s="8">
        <v>33.45</v>
      </c>
      <c r="D15" s="21">
        <v>46034.92361111111</v>
      </c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8">
        <v>15.0</v>
      </c>
      <c r="B16" s="8" t="s">
        <v>728</v>
      </c>
      <c r="C16" s="8">
        <v>32.26</v>
      </c>
      <c r="D16" s="21">
        <v>46038.8375</v>
      </c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8">
        <v>16.0</v>
      </c>
      <c r="B17" s="8" t="s">
        <v>729</v>
      </c>
      <c r="C17" s="8">
        <v>50.83</v>
      </c>
      <c r="D17" s="21">
        <v>46039.691666666666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8">
        <v>17.0</v>
      </c>
      <c r="B18" s="8" t="s">
        <v>730</v>
      </c>
      <c r="C18" s="8">
        <v>21.64</v>
      </c>
      <c r="D18" s="21">
        <v>46039.705555555556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8">
        <v>18.0</v>
      </c>
      <c r="B19" s="8" t="s">
        <v>731</v>
      </c>
      <c r="C19" s="8">
        <v>20.08</v>
      </c>
      <c r="D19" s="21">
        <v>46041.83194444444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8">
        <v>19.0</v>
      </c>
      <c r="B20" s="8" t="s">
        <v>732</v>
      </c>
      <c r="C20" s="8">
        <v>59.37</v>
      </c>
      <c r="D20" s="21">
        <v>46041.83194444444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8">
        <v>20.0</v>
      </c>
      <c r="B21" s="8" t="s">
        <v>733</v>
      </c>
      <c r="C21" s="8">
        <v>34.99</v>
      </c>
      <c r="D21" s="21">
        <v>46042.919444444444</v>
      </c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8">
        <v>21.0</v>
      </c>
      <c r="B22" s="8" t="s">
        <v>734</v>
      </c>
      <c r="C22" s="8">
        <v>21.77</v>
      </c>
      <c r="D22" s="21">
        <v>46043.84444444445</v>
      </c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8">
        <v>22.0</v>
      </c>
      <c r="B23" s="8" t="s">
        <v>735</v>
      </c>
      <c r="C23" s="8">
        <v>52.99</v>
      </c>
      <c r="D23" s="21">
        <v>46043.895833333336</v>
      </c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8">
        <v>23.0</v>
      </c>
      <c r="B24" s="8" t="s">
        <v>736</v>
      </c>
      <c r="C24" s="8">
        <v>56.81</v>
      </c>
      <c r="D24" s="21">
        <v>46044.933333333334</v>
      </c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8">
        <v>24.0</v>
      </c>
      <c r="B25" s="8" t="s">
        <v>737</v>
      </c>
      <c r="C25" s="8">
        <v>49.19</v>
      </c>
      <c r="D25" s="21">
        <v>46046.82638888889</v>
      </c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8">
        <v>25.0</v>
      </c>
      <c r="B26" s="8" t="s">
        <v>738</v>
      </c>
      <c r="C26" s="8">
        <v>40.55</v>
      </c>
      <c r="D26" s="21">
        <v>46046.84722222222</v>
      </c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8">
        <v>26.0</v>
      </c>
      <c r="B27" s="8" t="s">
        <v>739</v>
      </c>
      <c r="C27" s="8">
        <v>41.95</v>
      </c>
      <c r="D27" s="21">
        <v>46047.720138888886</v>
      </c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8">
        <v>27.0</v>
      </c>
      <c r="B28" s="8" t="s">
        <v>740</v>
      </c>
      <c r="C28" s="8">
        <v>20.25</v>
      </c>
      <c r="D28" s="21">
        <v>46048.78680555556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8">
        <v>28.0</v>
      </c>
      <c r="B29" s="8" t="s">
        <v>741</v>
      </c>
      <c r="C29" s="8">
        <v>26.26</v>
      </c>
      <c r="D29" s="21">
        <v>46048.825694444444</v>
      </c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8">
        <v>29.0</v>
      </c>
      <c r="B30" s="8" t="s">
        <v>742</v>
      </c>
      <c r="C30" s="8">
        <v>25.04</v>
      </c>
      <c r="D30" s="21">
        <v>46048.82916666667</v>
      </c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8">
        <v>30.0</v>
      </c>
      <c r="B31" s="8" t="s">
        <v>743</v>
      </c>
      <c r="C31" s="8">
        <v>40.56</v>
      </c>
      <c r="D31" s="21">
        <v>46049.80694444444</v>
      </c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8">
        <v>31.0</v>
      </c>
      <c r="B32" s="8" t="s">
        <v>744</v>
      </c>
      <c r="C32" s="8">
        <v>33.52</v>
      </c>
      <c r="D32" s="21">
        <v>46049.811111111114</v>
      </c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8">
        <v>32.0</v>
      </c>
      <c r="B33" s="8" t="s">
        <v>745</v>
      </c>
      <c r="C33" s="8">
        <v>26.21</v>
      </c>
      <c r="D33" s="21">
        <v>46049.978472222225</v>
      </c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8">
        <v>33.0</v>
      </c>
      <c r="B34" s="8" t="s">
        <v>746</v>
      </c>
      <c r="C34" s="8">
        <v>42.85</v>
      </c>
      <c r="D34" s="21">
        <v>46050.76875</v>
      </c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8">
        <v>34.0</v>
      </c>
      <c r="B35" s="8" t="s">
        <v>747</v>
      </c>
      <c r="C35" s="8">
        <v>24.36</v>
      </c>
      <c r="D35" s="21">
        <v>46050.78333333333</v>
      </c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8">
        <v>35.0</v>
      </c>
      <c r="B36" s="8" t="s">
        <v>748</v>
      </c>
      <c r="C36" s="8">
        <v>38.16</v>
      </c>
      <c r="D36" s="21">
        <v>46054.69930555556</v>
      </c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8">
        <v>36.0</v>
      </c>
      <c r="B37" s="8" t="s">
        <v>749</v>
      </c>
      <c r="C37" s="8">
        <v>50.35</v>
      </c>
      <c r="D37" s="21">
        <v>46054.788194444445</v>
      </c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8">
        <v>37.0</v>
      </c>
      <c r="B38" s="8" t="s">
        <v>750</v>
      </c>
      <c r="C38" s="8">
        <v>53.57</v>
      </c>
      <c r="D38" s="21">
        <v>46056.73125</v>
      </c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8">
        <v>38.0</v>
      </c>
      <c r="B39" s="8" t="s">
        <v>751</v>
      </c>
      <c r="C39" s="8">
        <v>53.36</v>
      </c>
      <c r="D39" s="21">
        <v>46056.73125</v>
      </c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8">
        <v>39.0</v>
      </c>
      <c r="B40" s="8" t="s">
        <v>752</v>
      </c>
      <c r="C40" s="8">
        <v>26.86</v>
      </c>
      <c r="D40" s="21">
        <v>46056.73263888889</v>
      </c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>
      <c r="A41" s="8">
        <v>40.0</v>
      </c>
      <c r="B41" s="8" t="s">
        <v>753</v>
      </c>
      <c r="C41" s="8">
        <v>32.07</v>
      </c>
      <c r="D41" s="21">
        <v>46058.93263888889</v>
      </c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>
      <c r="A42" s="8">
        <v>41.0</v>
      </c>
      <c r="B42" s="8" t="s">
        <v>754</v>
      </c>
      <c r="C42" s="8">
        <v>24.71</v>
      </c>
      <c r="D42" s="21">
        <v>46058.93402777778</v>
      </c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8">
        <v>42.0</v>
      </c>
      <c r="B43" s="8" t="s">
        <v>755</v>
      </c>
      <c r="C43" s="8">
        <v>21.58</v>
      </c>
      <c r="D43" s="21">
        <v>46058.959027777775</v>
      </c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8">
        <v>43.0</v>
      </c>
      <c r="B44" s="8" t="s">
        <v>756</v>
      </c>
      <c r="C44" s="8">
        <v>27.45</v>
      </c>
      <c r="D44" s="21">
        <v>46060.654861111114</v>
      </c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8">
        <v>44.0</v>
      </c>
      <c r="B45" s="8" t="s">
        <v>757</v>
      </c>
      <c r="C45" s="8">
        <v>21.48</v>
      </c>
      <c r="D45" s="21">
        <v>46061.85972222222</v>
      </c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8">
        <v>45.0</v>
      </c>
      <c r="B46" s="8" t="s">
        <v>758</v>
      </c>
      <c r="C46" s="8">
        <v>38.68</v>
      </c>
      <c r="D46" s="21">
        <v>46062.75763888889</v>
      </c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8">
        <v>46.0</v>
      </c>
      <c r="B47" s="8" t="s">
        <v>759</v>
      </c>
      <c r="C47" s="8">
        <v>25.33</v>
      </c>
      <c r="D47" s="21">
        <v>46062.76111111111</v>
      </c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8">
        <v>47.0</v>
      </c>
      <c r="B48" s="8" t="s">
        <v>760</v>
      </c>
      <c r="C48" s="8">
        <v>22.83</v>
      </c>
      <c r="D48" s="21">
        <v>46062.76666666667</v>
      </c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8">
        <v>48.0</v>
      </c>
      <c r="B49" s="8" t="s">
        <v>761</v>
      </c>
      <c r="C49" s="8">
        <v>37.96</v>
      </c>
      <c r="D49" s="21">
        <v>46062.9125</v>
      </c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8">
        <v>49.0</v>
      </c>
      <c r="B50" s="8" t="s">
        <v>762</v>
      </c>
      <c r="C50" s="8">
        <v>25.22</v>
      </c>
      <c r="D50" s="21">
        <v>46062.91527777778</v>
      </c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8">
        <v>50.0</v>
      </c>
      <c r="B51" s="8" t="s">
        <v>763</v>
      </c>
      <c r="C51" s="8">
        <v>20.38</v>
      </c>
      <c r="D51" s="21">
        <v>46062.944444444445</v>
      </c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8">
        <v>51.0</v>
      </c>
      <c r="B52" s="8" t="s">
        <v>764</v>
      </c>
      <c r="C52" s="8">
        <v>45.46</v>
      </c>
      <c r="D52" s="21">
        <v>46063.87430555555</v>
      </c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8">
        <v>52.0</v>
      </c>
      <c r="B53" s="8" t="s">
        <v>765</v>
      </c>
      <c r="C53" s="8">
        <v>44.81</v>
      </c>
      <c r="D53" s="21">
        <v>46064.69583333333</v>
      </c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8">
        <v>53.0</v>
      </c>
      <c r="B54" s="8" t="s">
        <v>766</v>
      </c>
      <c r="C54" s="8">
        <v>28.16</v>
      </c>
      <c r="D54" s="21">
        <v>46064.751388888886</v>
      </c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8">
        <v>54.0</v>
      </c>
      <c r="B55" s="8" t="s">
        <v>767</v>
      </c>
      <c r="C55" s="8">
        <v>25.79</v>
      </c>
      <c r="D55" s="21">
        <v>46065.72152777778</v>
      </c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8">
        <v>55.0</v>
      </c>
      <c r="B56" s="8" t="s">
        <v>768</v>
      </c>
      <c r="C56" s="8">
        <v>26.8</v>
      </c>
      <c r="D56" s="21">
        <v>46065.72222222222</v>
      </c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8">
        <v>56.0</v>
      </c>
      <c r="B57" s="8" t="s">
        <v>769</v>
      </c>
      <c r="C57" s="8">
        <v>23.69</v>
      </c>
      <c r="D57" s="21">
        <v>46065.74513888889</v>
      </c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8">
        <v>57.0</v>
      </c>
      <c r="B58" s="8" t="s">
        <v>770</v>
      </c>
      <c r="C58" s="8">
        <v>26.29</v>
      </c>
      <c r="D58" s="21">
        <v>46065.75069444445</v>
      </c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8">
        <v>58.0</v>
      </c>
      <c r="B59" s="8" t="s">
        <v>771</v>
      </c>
      <c r="C59" s="8">
        <v>54.84</v>
      </c>
      <c r="D59" s="21">
        <v>46068.777083333334</v>
      </c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8">
        <v>59.0</v>
      </c>
      <c r="B60" s="8" t="s">
        <v>772</v>
      </c>
      <c r="C60" s="8">
        <v>23.61</v>
      </c>
      <c r="D60" s="21">
        <v>46068.84722222222</v>
      </c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8">
        <v>60.0</v>
      </c>
      <c r="B61" s="8" t="s">
        <v>773</v>
      </c>
      <c r="C61" s="8">
        <v>42.38</v>
      </c>
      <c r="D61" s="21">
        <v>46069.9125</v>
      </c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8">
        <v>61.0</v>
      </c>
      <c r="B62" s="8" t="s">
        <v>774</v>
      </c>
      <c r="C62" s="8">
        <v>37.88</v>
      </c>
      <c r="D62" s="21">
        <v>46070.90347222222</v>
      </c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8">
        <v>62.0</v>
      </c>
      <c r="B63" s="8" t="s">
        <v>775</v>
      </c>
      <c r="C63" s="8">
        <v>43.98</v>
      </c>
      <c r="D63" s="21">
        <v>46071.6375</v>
      </c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8">
        <v>63.0</v>
      </c>
      <c r="B64" s="8" t="s">
        <v>776</v>
      </c>
      <c r="C64" s="8">
        <v>26.33</v>
      </c>
      <c r="D64" s="21">
        <v>46071.63958333333</v>
      </c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8">
        <v>64.0</v>
      </c>
      <c r="B65" s="8" t="s">
        <v>777</v>
      </c>
      <c r="C65" s="8">
        <v>41.34</v>
      </c>
      <c r="D65" s="21">
        <v>46071.65416666667</v>
      </c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8">
        <v>65.0</v>
      </c>
      <c r="B66" s="8" t="s">
        <v>778</v>
      </c>
      <c r="C66" s="8">
        <v>10.77</v>
      </c>
      <c r="D66" s="21">
        <v>46071.73402777778</v>
      </c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8">
        <v>66.0</v>
      </c>
      <c r="B67" s="8" t="s">
        <v>779</v>
      </c>
      <c r="C67" s="8">
        <v>22.33</v>
      </c>
      <c r="D67" s="21">
        <v>46071.73888888889</v>
      </c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8">
        <v>67.0</v>
      </c>
      <c r="B68" s="8" t="s">
        <v>780</v>
      </c>
      <c r="C68" s="8">
        <v>25.19</v>
      </c>
      <c r="D68" s="21">
        <v>46071.94097222222</v>
      </c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8">
        <v>68.0</v>
      </c>
      <c r="B69" s="8" t="s">
        <v>781</v>
      </c>
      <c r="C69" s="8">
        <v>54.72</v>
      </c>
      <c r="D69" s="21">
        <v>46072.771527777775</v>
      </c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8">
        <v>69.0</v>
      </c>
      <c r="B70" s="8" t="s">
        <v>782</v>
      </c>
      <c r="C70" s="8">
        <v>53.11</v>
      </c>
      <c r="D70" s="21">
        <v>46072.771527777775</v>
      </c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8">
        <v>70.0</v>
      </c>
      <c r="B71" s="8" t="s">
        <v>783</v>
      </c>
      <c r="C71" s="8">
        <v>45.37</v>
      </c>
      <c r="D71" s="21">
        <v>46073.729166666664</v>
      </c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8">
        <v>71.0</v>
      </c>
      <c r="B72" s="8" t="s">
        <v>784</v>
      </c>
      <c r="C72" s="8">
        <v>6.47</v>
      </c>
      <c r="D72" s="21">
        <v>46077.777083333334</v>
      </c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8">
        <v>72.0</v>
      </c>
      <c r="B73" s="8" t="s">
        <v>785</v>
      </c>
      <c r="C73" s="8">
        <v>14.27</v>
      </c>
      <c r="D73" s="21">
        <v>46112.91458333333</v>
      </c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8">
        <v>73.0</v>
      </c>
      <c r="B74" s="8" t="s">
        <v>601</v>
      </c>
      <c r="C74" s="8">
        <v>8.05</v>
      </c>
      <c r="D74" s="21">
        <v>46093.96111111111</v>
      </c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8">
        <v>74.0</v>
      </c>
      <c r="B75" s="8" t="s">
        <v>514</v>
      </c>
      <c r="C75" s="8">
        <v>15.82</v>
      </c>
      <c r="D75" s="21">
        <v>46105.94861111111</v>
      </c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8">
        <v>75.0</v>
      </c>
      <c r="B76" s="8" t="s">
        <v>508</v>
      </c>
      <c r="C76" s="8">
        <v>17.95</v>
      </c>
      <c r="D76" s="21">
        <v>46108.970138888886</v>
      </c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8">
        <v>76.0</v>
      </c>
      <c r="B77" s="8" t="s">
        <v>575</v>
      </c>
      <c r="C77" s="8">
        <v>15.03</v>
      </c>
      <c r="D77" s="21">
        <v>46118.95208333333</v>
      </c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8">
        <v>77.0</v>
      </c>
      <c r="B78" s="8" t="s">
        <v>592</v>
      </c>
      <c r="C78" s="8">
        <v>14.35</v>
      </c>
      <c r="D78" s="21">
        <v>46118.95347222222</v>
      </c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8">
        <v>78.0</v>
      </c>
      <c r="B79" s="8" t="s">
        <v>532</v>
      </c>
      <c r="C79" s="8">
        <v>13.41</v>
      </c>
      <c r="D79" s="21">
        <v>46118.95972222222</v>
      </c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8">
        <v>79.0</v>
      </c>
      <c r="B80" s="8" t="s">
        <v>542</v>
      </c>
      <c r="C80" s="8">
        <v>17.66</v>
      </c>
      <c r="D80" s="21">
        <v>46123.92847222222</v>
      </c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8">
        <v>80.0</v>
      </c>
      <c r="B81" s="8" t="s">
        <v>486</v>
      </c>
      <c r="C81" s="8">
        <v>17.75</v>
      </c>
      <c r="D81" s="21">
        <v>46125.88055555556</v>
      </c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8">
        <v>81.0</v>
      </c>
      <c r="B82" s="8" t="s">
        <v>597</v>
      </c>
      <c r="C82" s="8">
        <v>15.97</v>
      </c>
      <c r="D82" s="21">
        <v>46125.893055555556</v>
      </c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8">
        <v>82.0</v>
      </c>
      <c r="B83" s="8" t="s">
        <v>586</v>
      </c>
      <c r="C83" s="8">
        <v>14.09</v>
      </c>
      <c r="D83" s="21">
        <v>46125.958333333336</v>
      </c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8">
        <v>83.0</v>
      </c>
      <c r="B84" s="8" t="s">
        <v>526</v>
      </c>
      <c r="C84" s="8">
        <v>18.03</v>
      </c>
      <c r="D84" s="21">
        <v>46125.96041666667</v>
      </c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8">
        <v>84.0</v>
      </c>
      <c r="B85" s="8" t="s">
        <v>492</v>
      </c>
      <c r="C85" s="8">
        <v>19.2</v>
      </c>
      <c r="D85" s="21">
        <v>46129.94305555556</v>
      </c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8">
        <v>85.0</v>
      </c>
      <c r="B86" s="8" t="s">
        <v>569</v>
      </c>
      <c r="C86" s="8">
        <v>15.34</v>
      </c>
      <c r="D86" s="21">
        <v>46131.66805555556</v>
      </c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8">
        <v>86.0</v>
      </c>
      <c r="B87" s="8" t="s">
        <v>537</v>
      </c>
      <c r="C87" s="8">
        <v>17.63</v>
      </c>
      <c r="D87" s="21">
        <v>46131.71527777778</v>
      </c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8">
        <v>87.0</v>
      </c>
      <c r="B88" s="8" t="s">
        <v>554</v>
      </c>
      <c r="C88" s="8">
        <v>14.66</v>
      </c>
      <c r="D88" s="21">
        <v>46153.86319444444</v>
      </c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8">
        <v>88.0</v>
      </c>
      <c r="B89" s="8" t="s">
        <v>503</v>
      </c>
      <c r="C89" s="8">
        <v>16.46</v>
      </c>
      <c r="D89" s="21">
        <v>46153.87152777778</v>
      </c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8">
        <v>89.0</v>
      </c>
      <c r="B90" s="8" t="s">
        <v>520</v>
      </c>
      <c r="C90" s="8">
        <v>18.71</v>
      </c>
      <c r="D90" s="21">
        <v>46153.875</v>
      </c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8">
        <v>90.0</v>
      </c>
      <c r="B91" s="8" t="s">
        <v>548</v>
      </c>
      <c r="C91" s="8">
        <v>14.94</v>
      </c>
      <c r="D91" s="21">
        <v>46153.90694444445</v>
      </c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8">
        <v>91.0</v>
      </c>
      <c r="B92" s="8" t="s">
        <v>475</v>
      </c>
      <c r="C92" s="8">
        <v>19.06</v>
      </c>
      <c r="D92" s="21">
        <v>46153.910416666666</v>
      </c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8">
        <v>92.0</v>
      </c>
      <c r="B93" s="8" t="s">
        <v>558</v>
      </c>
      <c r="C93" s="8">
        <v>14.95</v>
      </c>
      <c r="D93" s="21">
        <v>46153.9125</v>
      </c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8">
        <v>93.0</v>
      </c>
      <c r="B94" s="8" t="s">
        <v>469</v>
      </c>
      <c r="C94" s="8">
        <v>19.69</v>
      </c>
      <c r="D94" s="21">
        <v>46153.91875</v>
      </c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8">
        <v>94.0</v>
      </c>
      <c r="B95" s="8" t="s">
        <v>581</v>
      </c>
      <c r="C95" s="8">
        <v>17.22</v>
      </c>
      <c r="D95" s="21">
        <v>46153.95208333333</v>
      </c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8">
        <v>95.0</v>
      </c>
      <c r="B96" s="8" t="s">
        <v>480</v>
      </c>
      <c r="C96" s="8">
        <v>19.84</v>
      </c>
      <c r="D96" s="21">
        <v>46153.95486111111</v>
      </c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8">
        <v>96.0</v>
      </c>
      <c r="B97" s="8" t="s">
        <v>497</v>
      </c>
      <c r="C97" s="8">
        <v>18.16</v>
      </c>
      <c r="D97" s="21">
        <v>46153.958333333336</v>
      </c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8">
        <v>97.0</v>
      </c>
      <c r="B98" s="8" t="s">
        <v>786</v>
      </c>
      <c r="C98" s="8">
        <v>19.4</v>
      </c>
      <c r="D98" s="21">
        <v>46135.96111111111</v>
      </c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8">
        <v>98.0</v>
      </c>
      <c r="B99" s="8" t="s">
        <v>787</v>
      </c>
      <c r="C99" s="8">
        <v>17.38</v>
      </c>
      <c r="D99" s="21">
        <v>46135.96111111111</v>
      </c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8">
        <v>99.0</v>
      </c>
      <c r="B100" s="8" t="s">
        <v>788</v>
      </c>
      <c r="C100" s="8">
        <v>20.77</v>
      </c>
      <c r="D100" s="21">
        <v>46135.96111111111</v>
      </c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8">
        <v>100.0</v>
      </c>
      <c r="B101" s="8" t="s">
        <v>789</v>
      </c>
      <c r="C101" s="8">
        <v>17.8</v>
      </c>
      <c r="D101" s="21">
        <v>46135.96111111111</v>
      </c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8">
        <v>101.0</v>
      </c>
      <c r="B102" s="8" t="s">
        <v>790</v>
      </c>
      <c r="C102" s="8">
        <v>16.89</v>
      </c>
      <c r="D102" s="21">
        <v>46135.96111111111</v>
      </c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22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44.5"/>
    <col customWidth="1" min="3" max="3" width="9.38"/>
    <col customWidth="1" min="4" max="4" width="14.25"/>
  </cols>
  <sheetData>
    <row r="1">
      <c r="A1" s="24" t="s">
        <v>606</v>
      </c>
      <c r="B1" s="24" t="s">
        <v>607</v>
      </c>
      <c r="C1" s="24" t="s">
        <v>608</v>
      </c>
      <c r="D1" s="24" t="s">
        <v>609</v>
      </c>
    </row>
    <row r="2">
      <c r="A2" s="25">
        <v>1.0</v>
      </c>
      <c r="B2" s="25" t="s">
        <v>714</v>
      </c>
      <c r="C2" s="25">
        <v>10.27</v>
      </c>
      <c r="D2" s="26">
        <v>46009.73611111111</v>
      </c>
    </row>
    <row r="3">
      <c r="A3" s="25">
        <v>2.0</v>
      </c>
      <c r="B3" s="25" t="s">
        <v>715</v>
      </c>
      <c r="C3" s="25">
        <v>10.44</v>
      </c>
      <c r="D3" s="26">
        <v>46009.90555555555</v>
      </c>
    </row>
    <row r="4">
      <c r="A4" s="25">
        <v>3.0</v>
      </c>
      <c r="B4" s="25" t="s">
        <v>716</v>
      </c>
      <c r="C4" s="25">
        <v>10.8</v>
      </c>
      <c r="D4" s="26">
        <v>46009.90833333333</v>
      </c>
    </row>
    <row r="5">
      <c r="A5" s="25">
        <v>4.0</v>
      </c>
      <c r="B5" s="25" t="s">
        <v>717</v>
      </c>
      <c r="C5" s="25">
        <v>10.33</v>
      </c>
      <c r="D5" s="26">
        <v>46009.94652777778</v>
      </c>
    </row>
    <row r="6">
      <c r="A6" s="25">
        <v>5.0</v>
      </c>
      <c r="B6" s="25" t="s">
        <v>718</v>
      </c>
      <c r="C6" s="25">
        <v>10.39</v>
      </c>
      <c r="D6" s="26">
        <v>46077.777083333334</v>
      </c>
    </row>
    <row r="7">
      <c r="A7" s="25">
        <v>6.0</v>
      </c>
      <c r="B7" s="25" t="s">
        <v>719</v>
      </c>
      <c r="C7" s="25">
        <v>9.72</v>
      </c>
      <c r="D7" s="26">
        <v>46077.777083333334</v>
      </c>
    </row>
    <row r="8">
      <c r="A8" s="25">
        <v>7.0</v>
      </c>
      <c r="B8" s="25" t="s">
        <v>720</v>
      </c>
      <c r="C8" s="25">
        <v>11.2</v>
      </c>
      <c r="D8" s="26">
        <v>46020.93819444445</v>
      </c>
    </row>
    <row r="9">
      <c r="A9" s="25">
        <v>8.0</v>
      </c>
      <c r="B9" s="25" t="s">
        <v>721</v>
      </c>
      <c r="C9" s="25">
        <v>11.17</v>
      </c>
      <c r="D9" s="26">
        <v>46020.94027777778</v>
      </c>
    </row>
    <row r="10">
      <c r="A10" s="25">
        <v>9.0</v>
      </c>
      <c r="B10" s="25" t="s">
        <v>722</v>
      </c>
      <c r="C10" s="25">
        <v>11.25</v>
      </c>
      <c r="D10" s="26">
        <v>46020.96597222222</v>
      </c>
    </row>
    <row r="11">
      <c r="A11" s="25">
        <v>10.0</v>
      </c>
      <c r="B11" s="25" t="s">
        <v>723</v>
      </c>
      <c r="C11" s="25">
        <v>11.1</v>
      </c>
      <c r="D11" s="26">
        <v>46020.97083333333</v>
      </c>
    </row>
    <row r="12">
      <c r="A12" s="25">
        <v>11.0</v>
      </c>
      <c r="B12" s="25" t="s">
        <v>724</v>
      </c>
      <c r="C12" s="25">
        <v>10.74</v>
      </c>
      <c r="D12" s="26">
        <v>46020.99791666667</v>
      </c>
    </row>
    <row r="13">
      <c r="A13" s="25">
        <v>12.0</v>
      </c>
      <c r="B13" s="25" t="s">
        <v>725</v>
      </c>
      <c r="C13" s="25">
        <v>11.19</v>
      </c>
      <c r="D13" s="26">
        <v>46024.847916666666</v>
      </c>
    </row>
    <row r="14">
      <c r="A14" s="25">
        <v>13.0</v>
      </c>
      <c r="B14" s="25" t="s">
        <v>726</v>
      </c>
      <c r="C14" s="25">
        <v>10.55</v>
      </c>
      <c r="D14" s="26">
        <v>46026.680555555555</v>
      </c>
    </row>
    <row r="15">
      <c r="A15" s="25">
        <v>14.0</v>
      </c>
      <c r="B15" s="25" t="s">
        <v>727</v>
      </c>
      <c r="C15" s="25">
        <v>11.02</v>
      </c>
      <c r="D15" s="26">
        <v>46034.92361111111</v>
      </c>
    </row>
    <row r="16">
      <c r="A16" s="25">
        <v>15.0</v>
      </c>
      <c r="B16" s="25" t="s">
        <v>728</v>
      </c>
      <c r="C16" s="25">
        <v>10.72</v>
      </c>
      <c r="D16" s="26">
        <v>46038.8375</v>
      </c>
    </row>
    <row r="17">
      <c r="A17" s="25">
        <v>16.0</v>
      </c>
      <c r="B17" s="25" t="s">
        <v>729</v>
      </c>
      <c r="C17" s="25">
        <v>10.52</v>
      </c>
      <c r="D17" s="26">
        <v>46039.691666666666</v>
      </c>
    </row>
    <row r="18">
      <c r="A18" s="25">
        <v>17.0</v>
      </c>
      <c r="B18" s="25" t="s">
        <v>730</v>
      </c>
      <c r="C18" s="25">
        <v>10.75</v>
      </c>
      <c r="D18" s="26">
        <v>46039.705555555556</v>
      </c>
    </row>
    <row r="19">
      <c r="A19" s="25">
        <v>18.0</v>
      </c>
      <c r="B19" s="25" t="s">
        <v>731</v>
      </c>
      <c r="C19" s="25">
        <v>11.15</v>
      </c>
      <c r="D19" s="26">
        <v>46041.83194444444</v>
      </c>
    </row>
    <row r="20">
      <c r="A20" s="25">
        <v>19.0</v>
      </c>
      <c r="B20" s="25" t="s">
        <v>732</v>
      </c>
      <c r="C20" s="25">
        <v>10.85</v>
      </c>
      <c r="D20" s="26">
        <v>46041.83194444444</v>
      </c>
    </row>
    <row r="21">
      <c r="A21" s="25">
        <v>20.0</v>
      </c>
      <c r="B21" s="25" t="s">
        <v>733</v>
      </c>
      <c r="C21" s="25">
        <v>10.22</v>
      </c>
      <c r="D21" s="26">
        <v>46042.919444444444</v>
      </c>
    </row>
    <row r="22">
      <c r="A22" s="25">
        <v>21.0</v>
      </c>
      <c r="B22" s="25" t="s">
        <v>734</v>
      </c>
      <c r="C22" s="25">
        <v>10.45</v>
      </c>
      <c r="D22" s="26">
        <v>46043.84444444445</v>
      </c>
    </row>
    <row r="23">
      <c r="A23" s="25">
        <v>22.0</v>
      </c>
      <c r="B23" s="25" t="s">
        <v>735</v>
      </c>
      <c r="C23" s="25">
        <v>11.01</v>
      </c>
      <c r="D23" s="26">
        <v>46043.895833333336</v>
      </c>
    </row>
    <row r="24">
      <c r="A24" s="25">
        <v>23.0</v>
      </c>
      <c r="B24" s="25" t="s">
        <v>736</v>
      </c>
      <c r="C24" s="25">
        <v>11.38</v>
      </c>
      <c r="D24" s="26">
        <v>46044.933333333334</v>
      </c>
    </row>
    <row r="25">
      <c r="A25" s="25">
        <v>24.0</v>
      </c>
      <c r="B25" s="25" t="s">
        <v>737</v>
      </c>
      <c r="C25" s="25">
        <v>11.71</v>
      </c>
      <c r="D25" s="26">
        <v>46046.82638888889</v>
      </c>
    </row>
    <row r="26">
      <c r="A26" s="25">
        <v>25.0</v>
      </c>
      <c r="B26" s="25" t="s">
        <v>738</v>
      </c>
      <c r="C26" s="25">
        <v>10.66</v>
      </c>
      <c r="D26" s="26">
        <v>46046.84722222222</v>
      </c>
    </row>
    <row r="27">
      <c r="A27" s="25">
        <v>26.0</v>
      </c>
      <c r="B27" s="25" t="s">
        <v>739</v>
      </c>
      <c r="C27" s="25">
        <v>10.89</v>
      </c>
      <c r="D27" s="26">
        <v>46047.720138888886</v>
      </c>
    </row>
    <row r="28">
      <c r="A28" s="25">
        <v>27.0</v>
      </c>
      <c r="B28" s="25" t="s">
        <v>740</v>
      </c>
      <c r="C28" s="25">
        <v>11.01</v>
      </c>
      <c r="D28" s="26">
        <v>46048.78680555556</v>
      </c>
    </row>
    <row r="29">
      <c r="A29" s="25">
        <v>28.0</v>
      </c>
      <c r="B29" s="25" t="s">
        <v>741</v>
      </c>
      <c r="C29" s="25">
        <v>10.99</v>
      </c>
      <c r="D29" s="26">
        <v>46048.825694444444</v>
      </c>
    </row>
    <row r="30">
      <c r="A30" s="25">
        <v>29.0</v>
      </c>
      <c r="B30" s="25" t="s">
        <v>742</v>
      </c>
      <c r="C30" s="25">
        <v>10.98</v>
      </c>
      <c r="D30" s="26">
        <v>46048.82916666667</v>
      </c>
    </row>
    <row r="31">
      <c r="A31" s="25">
        <v>30.0</v>
      </c>
      <c r="B31" s="25" t="s">
        <v>743</v>
      </c>
      <c r="C31" s="25">
        <v>10.72</v>
      </c>
      <c r="D31" s="26">
        <v>46049.80694444444</v>
      </c>
    </row>
    <row r="32">
      <c r="A32" s="25">
        <v>31.0</v>
      </c>
      <c r="B32" s="25" t="s">
        <v>744</v>
      </c>
      <c r="C32" s="25">
        <v>10.37</v>
      </c>
      <c r="D32" s="26">
        <v>46049.811111111114</v>
      </c>
    </row>
    <row r="33">
      <c r="A33" s="25">
        <v>32.0</v>
      </c>
      <c r="B33" s="25" t="s">
        <v>745</v>
      </c>
      <c r="C33" s="25">
        <v>11.42</v>
      </c>
      <c r="D33" s="26">
        <v>46049.978472222225</v>
      </c>
    </row>
    <row r="34">
      <c r="A34" s="25">
        <v>33.0</v>
      </c>
      <c r="B34" s="25" t="s">
        <v>746</v>
      </c>
      <c r="C34" s="25">
        <v>10.9</v>
      </c>
      <c r="D34" s="26">
        <v>46050.76875</v>
      </c>
    </row>
    <row r="35">
      <c r="A35" s="25">
        <v>34.0</v>
      </c>
      <c r="B35" s="25" t="s">
        <v>747</v>
      </c>
      <c r="C35" s="25">
        <v>10.69</v>
      </c>
      <c r="D35" s="26">
        <v>46050.78333333333</v>
      </c>
    </row>
    <row r="36">
      <c r="A36" s="25">
        <v>35.0</v>
      </c>
      <c r="B36" s="25" t="s">
        <v>748</v>
      </c>
      <c r="C36" s="25">
        <v>10.84</v>
      </c>
      <c r="D36" s="26">
        <v>46054.69930555556</v>
      </c>
    </row>
    <row r="37">
      <c r="A37" s="25">
        <v>36.0</v>
      </c>
      <c r="B37" s="25" t="s">
        <v>749</v>
      </c>
      <c r="C37" s="25">
        <v>10.61</v>
      </c>
      <c r="D37" s="26">
        <v>46054.788194444445</v>
      </c>
    </row>
    <row r="38">
      <c r="A38" s="25">
        <v>37.0</v>
      </c>
      <c r="B38" s="25" t="s">
        <v>750</v>
      </c>
      <c r="C38" s="25">
        <v>11.03</v>
      </c>
      <c r="D38" s="26">
        <v>46056.73125</v>
      </c>
    </row>
    <row r="39">
      <c r="A39" s="25">
        <v>38.0</v>
      </c>
      <c r="B39" s="25" t="s">
        <v>751</v>
      </c>
      <c r="C39" s="25">
        <v>10.63</v>
      </c>
      <c r="D39" s="26">
        <v>46056.73125</v>
      </c>
    </row>
    <row r="40">
      <c r="A40" s="25">
        <v>39.0</v>
      </c>
      <c r="B40" s="25" t="s">
        <v>752</v>
      </c>
      <c r="C40" s="25">
        <v>10.83</v>
      </c>
      <c r="D40" s="26">
        <v>46056.73263888889</v>
      </c>
    </row>
    <row r="41">
      <c r="A41" s="25">
        <v>40.0</v>
      </c>
      <c r="B41" s="25" t="s">
        <v>753</v>
      </c>
      <c r="C41" s="25">
        <v>9.53</v>
      </c>
      <c r="D41" s="26">
        <v>46058.93263888889</v>
      </c>
    </row>
    <row r="42">
      <c r="A42" s="25">
        <v>41.0</v>
      </c>
      <c r="B42" s="25" t="s">
        <v>754</v>
      </c>
      <c r="C42" s="25">
        <v>10.91</v>
      </c>
      <c r="D42" s="26">
        <v>46058.93402777778</v>
      </c>
    </row>
    <row r="43">
      <c r="A43" s="25">
        <v>42.0</v>
      </c>
      <c r="B43" s="25" t="s">
        <v>755</v>
      </c>
      <c r="C43" s="25">
        <v>9.85</v>
      </c>
      <c r="D43" s="26">
        <v>46058.959027777775</v>
      </c>
    </row>
    <row r="44">
      <c r="A44" s="25">
        <v>43.0</v>
      </c>
      <c r="B44" s="25" t="s">
        <v>756</v>
      </c>
      <c r="C44" s="25">
        <v>10.76</v>
      </c>
      <c r="D44" s="26">
        <v>46060.654861111114</v>
      </c>
    </row>
    <row r="45">
      <c r="A45" s="25">
        <v>44.0</v>
      </c>
      <c r="B45" s="25" t="s">
        <v>757</v>
      </c>
      <c r="C45" s="25">
        <v>10.18</v>
      </c>
      <c r="D45" s="26">
        <v>46061.85972222222</v>
      </c>
    </row>
    <row r="46">
      <c r="A46" s="25">
        <v>45.0</v>
      </c>
      <c r="B46" s="25" t="s">
        <v>758</v>
      </c>
      <c r="C46" s="25">
        <v>10.69</v>
      </c>
      <c r="D46" s="26">
        <v>46062.75763888889</v>
      </c>
    </row>
    <row r="47">
      <c r="A47" s="25">
        <v>46.0</v>
      </c>
      <c r="B47" s="25" t="s">
        <v>759</v>
      </c>
      <c r="C47" s="25">
        <v>11.27</v>
      </c>
      <c r="D47" s="26">
        <v>46062.76111111111</v>
      </c>
    </row>
    <row r="48">
      <c r="A48" s="25">
        <v>47.0</v>
      </c>
      <c r="B48" s="25" t="s">
        <v>760</v>
      </c>
      <c r="C48" s="25">
        <v>11.53</v>
      </c>
      <c r="D48" s="26">
        <v>46062.76666666667</v>
      </c>
    </row>
    <row r="49">
      <c r="A49" s="25">
        <v>48.0</v>
      </c>
      <c r="B49" s="25" t="s">
        <v>761</v>
      </c>
      <c r="C49" s="25">
        <v>10.69</v>
      </c>
      <c r="D49" s="26">
        <v>46062.9125</v>
      </c>
    </row>
    <row r="50">
      <c r="A50" s="25">
        <v>49.0</v>
      </c>
      <c r="B50" s="25" t="s">
        <v>762</v>
      </c>
      <c r="C50" s="25">
        <v>10.89</v>
      </c>
      <c r="D50" s="26">
        <v>46062.91527777778</v>
      </c>
    </row>
    <row r="51">
      <c r="A51" s="25">
        <v>50.0</v>
      </c>
      <c r="B51" s="25" t="s">
        <v>763</v>
      </c>
      <c r="C51" s="25">
        <v>10.02</v>
      </c>
      <c r="D51" s="26">
        <v>46062.944444444445</v>
      </c>
    </row>
    <row r="52">
      <c r="A52" s="25">
        <v>51.0</v>
      </c>
      <c r="B52" s="25" t="s">
        <v>764</v>
      </c>
      <c r="C52" s="25">
        <v>11.06</v>
      </c>
      <c r="D52" s="26">
        <v>46063.87430555555</v>
      </c>
    </row>
    <row r="53">
      <c r="A53" s="25">
        <v>52.0</v>
      </c>
      <c r="B53" s="25" t="s">
        <v>765</v>
      </c>
      <c r="C53" s="25">
        <v>10.75</v>
      </c>
      <c r="D53" s="26">
        <v>46064.69583333333</v>
      </c>
    </row>
    <row r="54">
      <c r="A54" s="25">
        <v>53.0</v>
      </c>
      <c r="B54" s="25" t="s">
        <v>766</v>
      </c>
      <c r="C54" s="25">
        <v>10.72</v>
      </c>
      <c r="D54" s="26">
        <v>46064.751388888886</v>
      </c>
    </row>
    <row r="55">
      <c r="A55" s="25">
        <v>54.0</v>
      </c>
      <c r="B55" s="25" t="s">
        <v>767</v>
      </c>
      <c r="C55" s="25">
        <v>10.76</v>
      </c>
      <c r="D55" s="26">
        <v>46065.72152777778</v>
      </c>
    </row>
    <row r="56">
      <c r="A56" s="25">
        <v>55.0</v>
      </c>
      <c r="B56" s="25" t="s">
        <v>768</v>
      </c>
      <c r="C56" s="25">
        <v>11.23</v>
      </c>
      <c r="D56" s="26">
        <v>46065.72222222222</v>
      </c>
    </row>
    <row r="57">
      <c r="A57" s="25">
        <v>56.0</v>
      </c>
      <c r="B57" s="25" t="s">
        <v>769</v>
      </c>
      <c r="C57" s="25">
        <v>11.04</v>
      </c>
      <c r="D57" s="26">
        <v>46065.74513888889</v>
      </c>
    </row>
    <row r="58">
      <c r="A58" s="25">
        <v>57.0</v>
      </c>
      <c r="B58" s="25" t="s">
        <v>770</v>
      </c>
      <c r="C58" s="25">
        <v>10.7</v>
      </c>
      <c r="D58" s="26">
        <v>46065.75069444445</v>
      </c>
    </row>
    <row r="59">
      <c r="A59" s="25">
        <v>58.0</v>
      </c>
      <c r="B59" s="25" t="s">
        <v>771</v>
      </c>
      <c r="C59" s="25">
        <v>10.9</v>
      </c>
      <c r="D59" s="26">
        <v>46068.777083333334</v>
      </c>
    </row>
    <row r="60">
      <c r="A60" s="25">
        <v>59.0</v>
      </c>
      <c r="B60" s="25" t="s">
        <v>772</v>
      </c>
      <c r="C60" s="25">
        <v>11.02</v>
      </c>
      <c r="D60" s="26">
        <v>46068.84722222222</v>
      </c>
    </row>
    <row r="61">
      <c r="A61" s="25">
        <v>60.0</v>
      </c>
      <c r="B61" s="25" t="s">
        <v>773</v>
      </c>
      <c r="C61" s="25">
        <v>10.63</v>
      </c>
      <c r="D61" s="26">
        <v>46069.9125</v>
      </c>
    </row>
    <row r="62">
      <c r="A62" s="25">
        <v>61.0</v>
      </c>
      <c r="B62" s="25" t="s">
        <v>774</v>
      </c>
      <c r="C62" s="25">
        <v>10.39</v>
      </c>
      <c r="D62" s="26">
        <v>46070.90347222222</v>
      </c>
    </row>
    <row r="63">
      <c r="A63" s="25">
        <v>62.0</v>
      </c>
      <c r="B63" s="25" t="s">
        <v>775</v>
      </c>
      <c r="C63" s="25">
        <v>10.78</v>
      </c>
      <c r="D63" s="26">
        <v>46071.6375</v>
      </c>
    </row>
    <row r="64">
      <c r="A64" s="25">
        <v>63.0</v>
      </c>
      <c r="B64" s="25" t="s">
        <v>776</v>
      </c>
      <c r="C64" s="25">
        <v>11.41</v>
      </c>
      <c r="D64" s="26">
        <v>46071.63958333333</v>
      </c>
    </row>
    <row r="65">
      <c r="A65" s="25">
        <v>64.0</v>
      </c>
      <c r="B65" s="25" t="s">
        <v>777</v>
      </c>
      <c r="C65" s="25">
        <v>10.38</v>
      </c>
      <c r="D65" s="26">
        <v>46071.65416666667</v>
      </c>
    </row>
    <row r="66">
      <c r="A66" s="25">
        <v>65.0</v>
      </c>
      <c r="B66" s="25" t="s">
        <v>778</v>
      </c>
      <c r="C66" s="25">
        <v>6.93</v>
      </c>
      <c r="D66" s="26">
        <v>46071.73402777778</v>
      </c>
    </row>
    <row r="67">
      <c r="A67" s="25">
        <v>66.0</v>
      </c>
      <c r="B67" s="25" t="s">
        <v>779</v>
      </c>
      <c r="C67" s="25">
        <v>10.93</v>
      </c>
      <c r="D67" s="26">
        <v>46071.73888888889</v>
      </c>
    </row>
    <row r="68">
      <c r="A68" s="25">
        <v>67.0</v>
      </c>
      <c r="B68" s="25" t="s">
        <v>780</v>
      </c>
      <c r="C68" s="25">
        <v>9.9</v>
      </c>
      <c r="D68" s="26">
        <v>46071.94097222222</v>
      </c>
    </row>
    <row r="69">
      <c r="A69" s="25">
        <v>68.0</v>
      </c>
      <c r="B69" s="25" t="s">
        <v>781</v>
      </c>
      <c r="C69" s="25">
        <v>10.7</v>
      </c>
      <c r="D69" s="26">
        <v>46072.771527777775</v>
      </c>
    </row>
    <row r="70">
      <c r="A70" s="25">
        <v>69.0</v>
      </c>
      <c r="B70" s="25" t="s">
        <v>782</v>
      </c>
      <c r="C70" s="25">
        <v>9.79</v>
      </c>
      <c r="D70" s="26">
        <v>46072.771527777775</v>
      </c>
    </row>
    <row r="71">
      <c r="A71" s="25">
        <v>70.0</v>
      </c>
      <c r="B71" s="25" t="s">
        <v>783</v>
      </c>
      <c r="C71" s="25">
        <v>10.33</v>
      </c>
      <c r="D71" s="26">
        <v>46073.729166666664</v>
      </c>
    </row>
    <row r="72">
      <c r="A72" s="25">
        <v>71.0</v>
      </c>
      <c r="B72" s="25" t="s">
        <v>784</v>
      </c>
      <c r="C72" s="25">
        <v>6.4</v>
      </c>
      <c r="D72" s="26">
        <v>46077.777083333334</v>
      </c>
    </row>
    <row r="73">
      <c r="A73" s="25">
        <v>72.0</v>
      </c>
      <c r="B73" s="25" t="s">
        <v>785</v>
      </c>
      <c r="C73" s="25">
        <v>9.1</v>
      </c>
      <c r="D73" s="26">
        <v>46112.91458333333</v>
      </c>
    </row>
    <row r="74">
      <c r="A74" s="25">
        <v>73.0</v>
      </c>
      <c r="B74" s="25" t="s">
        <v>514</v>
      </c>
      <c r="C74" s="25">
        <v>11.1</v>
      </c>
      <c r="D74" s="26">
        <v>46105.94861111111</v>
      </c>
    </row>
    <row r="75">
      <c r="A75" s="25">
        <v>74.0</v>
      </c>
      <c r="B75" s="25" t="s">
        <v>508</v>
      </c>
      <c r="C75" s="25">
        <v>10.38</v>
      </c>
      <c r="D75" s="26">
        <v>46108.970138888886</v>
      </c>
    </row>
    <row r="76">
      <c r="A76" s="25">
        <v>75.0</v>
      </c>
      <c r="B76" s="25" t="s">
        <v>575</v>
      </c>
      <c r="C76" s="25">
        <v>10.96</v>
      </c>
      <c r="D76" s="26">
        <v>46118.95208333333</v>
      </c>
    </row>
    <row r="77">
      <c r="A77" s="25">
        <v>76.0</v>
      </c>
      <c r="B77" s="25" t="s">
        <v>592</v>
      </c>
      <c r="C77" s="25">
        <v>10.34</v>
      </c>
      <c r="D77" s="26">
        <v>46118.95347222222</v>
      </c>
    </row>
    <row r="78">
      <c r="A78" s="25">
        <v>77.0</v>
      </c>
      <c r="B78" s="25" t="s">
        <v>532</v>
      </c>
      <c r="C78" s="25">
        <v>9.21</v>
      </c>
      <c r="D78" s="26">
        <v>46118.95972222222</v>
      </c>
    </row>
    <row r="79">
      <c r="A79" s="25">
        <v>78.0</v>
      </c>
      <c r="B79" s="25" t="s">
        <v>542</v>
      </c>
      <c r="C79" s="25">
        <v>11.01</v>
      </c>
      <c r="D79" s="26">
        <v>46123.92847222222</v>
      </c>
    </row>
    <row r="80">
      <c r="A80" s="25">
        <v>79.0</v>
      </c>
      <c r="B80" s="25" t="s">
        <v>486</v>
      </c>
      <c r="C80" s="25">
        <v>12.1</v>
      </c>
      <c r="D80" s="26">
        <v>46125.88055555556</v>
      </c>
    </row>
    <row r="81">
      <c r="A81" s="25">
        <v>80.0</v>
      </c>
      <c r="B81" s="25" t="s">
        <v>597</v>
      </c>
      <c r="C81" s="25">
        <v>9.94</v>
      </c>
      <c r="D81" s="26">
        <v>46125.893055555556</v>
      </c>
    </row>
    <row r="82">
      <c r="A82" s="25">
        <v>81.0</v>
      </c>
      <c r="B82" s="25" t="s">
        <v>586</v>
      </c>
      <c r="C82" s="25">
        <v>10.54</v>
      </c>
      <c r="D82" s="26">
        <v>46125.958333333336</v>
      </c>
    </row>
    <row r="83">
      <c r="A83" s="25">
        <v>82.0</v>
      </c>
      <c r="B83" s="25" t="s">
        <v>526</v>
      </c>
      <c r="C83" s="25">
        <v>10.54</v>
      </c>
      <c r="D83" s="26">
        <v>46125.96041666667</v>
      </c>
    </row>
    <row r="84">
      <c r="A84" s="25">
        <v>83.0</v>
      </c>
      <c r="B84" s="25" t="s">
        <v>564</v>
      </c>
      <c r="C84" s="25">
        <v>10.36</v>
      </c>
      <c r="D84" s="26">
        <v>46129.93402777778</v>
      </c>
    </row>
    <row r="85">
      <c r="A85" s="25">
        <v>84.0</v>
      </c>
      <c r="B85" s="25" t="s">
        <v>492</v>
      </c>
      <c r="C85" s="25">
        <v>11.68</v>
      </c>
      <c r="D85" s="26">
        <v>46129.94305555556</v>
      </c>
    </row>
    <row r="86">
      <c r="A86" s="25">
        <v>85.0</v>
      </c>
      <c r="B86" s="25" t="s">
        <v>569</v>
      </c>
      <c r="C86" s="25">
        <v>10.27</v>
      </c>
      <c r="D86" s="26">
        <v>46131.66805555556</v>
      </c>
    </row>
    <row r="87">
      <c r="A87" s="25">
        <v>86.0</v>
      </c>
      <c r="B87" s="25" t="s">
        <v>537</v>
      </c>
      <c r="C87" s="25">
        <v>10.45</v>
      </c>
      <c r="D87" s="26">
        <v>46131.71527777778</v>
      </c>
    </row>
    <row r="88">
      <c r="A88" s="25">
        <v>87.0</v>
      </c>
      <c r="B88" s="25" t="s">
        <v>554</v>
      </c>
      <c r="C88" s="25">
        <v>10.31</v>
      </c>
      <c r="D88" s="26">
        <v>46153.86319444444</v>
      </c>
    </row>
    <row r="89">
      <c r="A89" s="25">
        <v>88.0</v>
      </c>
      <c r="B89" s="25" t="s">
        <v>503</v>
      </c>
      <c r="C89" s="25">
        <v>11.7</v>
      </c>
      <c r="D89" s="26">
        <v>46153.87152777778</v>
      </c>
    </row>
    <row r="90">
      <c r="A90" s="25">
        <v>89.0</v>
      </c>
      <c r="B90" s="25" t="s">
        <v>520</v>
      </c>
      <c r="C90" s="25">
        <v>11.41</v>
      </c>
      <c r="D90" s="26">
        <v>46153.875</v>
      </c>
    </row>
    <row r="91">
      <c r="A91" s="25">
        <v>90.0</v>
      </c>
      <c r="B91" s="25" t="s">
        <v>548</v>
      </c>
      <c r="C91" s="25">
        <v>10.9</v>
      </c>
      <c r="D91" s="26">
        <v>46153.90694444445</v>
      </c>
    </row>
    <row r="92">
      <c r="A92" s="25">
        <v>91.0</v>
      </c>
      <c r="B92" s="25" t="s">
        <v>475</v>
      </c>
      <c r="C92" s="25">
        <v>12.0</v>
      </c>
      <c r="D92" s="26">
        <v>46153.910416666666</v>
      </c>
    </row>
    <row r="93">
      <c r="A93" s="25">
        <v>92.0</v>
      </c>
      <c r="B93" s="25" t="s">
        <v>558</v>
      </c>
      <c r="C93" s="25">
        <v>10.8</v>
      </c>
      <c r="D93" s="26">
        <v>46153.9125</v>
      </c>
    </row>
    <row r="94">
      <c r="A94" s="25">
        <v>93.0</v>
      </c>
      <c r="B94" s="25" t="s">
        <v>469</v>
      </c>
      <c r="C94" s="25">
        <v>11.34</v>
      </c>
      <c r="D94" s="26">
        <v>46153.91875</v>
      </c>
    </row>
    <row r="95">
      <c r="A95" s="25">
        <v>94.0</v>
      </c>
      <c r="B95" s="25" t="s">
        <v>581</v>
      </c>
      <c r="C95" s="25">
        <v>10.63</v>
      </c>
      <c r="D95" s="26">
        <v>46153.95208333333</v>
      </c>
    </row>
    <row r="96">
      <c r="A96" s="25">
        <v>95.0</v>
      </c>
      <c r="B96" s="25" t="s">
        <v>480</v>
      </c>
      <c r="C96" s="25">
        <v>11.02</v>
      </c>
      <c r="D96" s="26">
        <v>46153.95486111111</v>
      </c>
    </row>
    <row r="97">
      <c r="A97" s="25">
        <v>96.0</v>
      </c>
      <c r="B97" s="25" t="s">
        <v>497</v>
      </c>
      <c r="C97" s="25">
        <v>11.15</v>
      </c>
      <c r="D97" s="26">
        <v>46153.958333333336</v>
      </c>
    </row>
    <row r="98">
      <c r="A98" s="25">
        <v>97.0</v>
      </c>
      <c r="B98" s="25" t="s">
        <v>786</v>
      </c>
      <c r="C98" s="25">
        <v>10.43</v>
      </c>
      <c r="D98" s="26">
        <v>46135.96111111111</v>
      </c>
    </row>
    <row r="99">
      <c r="A99" s="25">
        <v>98.0</v>
      </c>
      <c r="B99" s="25" t="s">
        <v>787</v>
      </c>
      <c r="C99" s="25">
        <v>10.31</v>
      </c>
      <c r="D99" s="26">
        <v>46135.96111111111</v>
      </c>
    </row>
    <row r="100">
      <c r="A100" s="25">
        <v>99.0</v>
      </c>
      <c r="B100" s="25" t="s">
        <v>788</v>
      </c>
      <c r="C100" s="25">
        <v>10.93</v>
      </c>
      <c r="D100" s="26">
        <v>46135.96111111111</v>
      </c>
    </row>
    <row r="101">
      <c r="A101" s="25">
        <v>100.0</v>
      </c>
      <c r="B101" s="25" t="s">
        <v>789</v>
      </c>
      <c r="C101" s="25">
        <v>10.35</v>
      </c>
      <c r="D101" s="26">
        <v>46135.96111111111</v>
      </c>
    </row>
    <row r="102">
      <c r="A102" s="25">
        <v>101.0</v>
      </c>
      <c r="B102" s="25" t="s">
        <v>790</v>
      </c>
      <c r="C102" s="25">
        <v>9.68</v>
      </c>
      <c r="D102" s="26">
        <v>46135.96111111111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44.5"/>
    <col customWidth="1" min="3" max="3" width="9.38"/>
    <col customWidth="1" min="4" max="4" width="14.25"/>
  </cols>
  <sheetData>
    <row r="1">
      <c r="A1" s="27" t="s">
        <v>606</v>
      </c>
      <c r="B1" s="27" t="s">
        <v>791</v>
      </c>
      <c r="C1" s="27" t="s">
        <v>608</v>
      </c>
      <c r="D1" s="27" t="s">
        <v>609</v>
      </c>
    </row>
    <row r="2">
      <c r="A2" s="28">
        <v>1.0</v>
      </c>
      <c r="B2" s="8" t="s">
        <v>714</v>
      </c>
      <c r="C2" s="28">
        <v>12.88</v>
      </c>
      <c r="D2" s="21">
        <v>46009.73611111111</v>
      </c>
    </row>
    <row r="3">
      <c r="A3" s="28">
        <v>2.0</v>
      </c>
      <c r="B3" s="8" t="s">
        <v>715</v>
      </c>
      <c r="C3" s="28">
        <v>13.2</v>
      </c>
      <c r="D3" s="21">
        <v>46009.90555555555</v>
      </c>
    </row>
    <row r="4">
      <c r="A4" s="28">
        <v>3.0</v>
      </c>
      <c r="B4" s="8" t="s">
        <v>716</v>
      </c>
      <c r="C4" s="28">
        <v>13.2</v>
      </c>
      <c r="D4" s="21">
        <v>46009.90833333333</v>
      </c>
    </row>
    <row r="5">
      <c r="A5" s="28">
        <v>4.0</v>
      </c>
      <c r="B5" s="8" t="s">
        <v>717</v>
      </c>
      <c r="C5" s="28">
        <v>13.07</v>
      </c>
      <c r="D5" s="21">
        <v>46009.94652777778</v>
      </c>
    </row>
    <row r="6">
      <c r="A6" s="28">
        <v>5.0</v>
      </c>
      <c r="B6" s="8" t="s">
        <v>718</v>
      </c>
      <c r="C6" s="28">
        <v>13.09</v>
      </c>
      <c r="D6" s="21">
        <v>46077.777083333334</v>
      </c>
    </row>
    <row r="7">
      <c r="A7" s="28">
        <v>6.0</v>
      </c>
      <c r="B7" s="8" t="s">
        <v>719</v>
      </c>
      <c r="C7" s="28">
        <v>12.12</v>
      </c>
      <c r="D7" s="21">
        <v>46077.777083333334</v>
      </c>
    </row>
    <row r="8">
      <c r="A8" s="28">
        <v>7.0</v>
      </c>
      <c r="B8" s="8" t="s">
        <v>720</v>
      </c>
      <c r="C8" s="28">
        <v>14.12</v>
      </c>
      <c r="D8" s="21">
        <v>46020.93819444445</v>
      </c>
    </row>
    <row r="9">
      <c r="A9" s="28">
        <v>8.0</v>
      </c>
      <c r="B9" s="8" t="s">
        <v>721</v>
      </c>
      <c r="C9" s="28">
        <v>14.23</v>
      </c>
      <c r="D9" s="21">
        <v>46020.94027777778</v>
      </c>
    </row>
    <row r="10">
      <c r="A10" s="28">
        <v>9.0</v>
      </c>
      <c r="B10" s="8" t="s">
        <v>722</v>
      </c>
      <c r="C10" s="28">
        <v>14.09</v>
      </c>
      <c r="D10" s="21">
        <v>46020.96597222222</v>
      </c>
    </row>
    <row r="11">
      <c r="A11" s="28">
        <v>10.0</v>
      </c>
      <c r="B11" s="8" t="s">
        <v>723</v>
      </c>
      <c r="C11" s="28">
        <v>13.94</v>
      </c>
      <c r="D11" s="21">
        <v>46020.97083333333</v>
      </c>
    </row>
    <row r="12">
      <c r="A12" s="28">
        <v>11.0</v>
      </c>
      <c r="B12" s="8" t="s">
        <v>724</v>
      </c>
      <c r="C12" s="28">
        <v>13.51</v>
      </c>
      <c r="D12" s="21">
        <v>46020.99791666667</v>
      </c>
    </row>
    <row r="13">
      <c r="A13" s="28">
        <v>12.0</v>
      </c>
      <c r="B13" s="8" t="s">
        <v>725</v>
      </c>
      <c r="C13" s="28">
        <v>14.43</v>
      </c>
      <c r="D13" s="21">
        <v>46024.847916666666</v>
      </c>
    </row>
    <row r="14">
      <c r="A14" s="28">
        <v>13.0</v>
      </c>
      <c r="B14" s="8" t="s">
        <v>726</v>
      </c>
      <c r="C14" s="28">
        <v>13.22</v>
      </c>
      <c r="D14" s="21">
        <v>46026.680555555555</v>
      </c>
    </row>
    <row r="15">
      <c r="A15" s="28">
        <v>14.0</v>
      </c>
      <c r="B15" s="8" t="s">
        <v>727</v>
      </c>
      <c r="C15" s="28">
        <v>14.24</v>
      </c>
      <c r="D15" s="21">
        <v>46034.92361111111</v>
      </c>
    </row>
    <row r="16">
      <c r="A16" s="28">
        <v>15.0</v>
      </c>
      <c r="B16" s="8" t="s">
        <v>728</v>
      </c>
      <c r="C16" s="28">
        <v>13.82</v>
      </c>
      <c r="D16" s="21">
        <v>46038.8375</v>
      </c>
    </row>
    <row r="17">
      <c r="A17" s="28">
        <v>16.0</v>
      </c>
      <c r="B17" s="8" t="s">
        <v>729</v>
      </c>
      <c r="C17" s="28">
        <v>13.61</v>
      </c>
      <c r="D17" s="21">
        <v>46039.691666666666</v>
      </c>
    </row>
    <row r="18">
      <c r="A18" s="28">
        <v>17.0</v>
      </c>
      <c r="B18" s="8" t="s">
        <v>730</v>
      </c>
      <c r="C18" s="28">
        <v>13.3</v>
      </c>
      <c r="D18" s="21">
        <v>46039.705555555556</v>
      </c>
    </row>
    <row r="19">
      <c r="A19" s="28">
        <v>18.0</v>
      </c>
      <c r="B19" s="8" t="s">
        <v>731</v>
      </c>
      <c r="C19" s="28">
        <v>14.15</v>
      </c>
      <c r="D19" s="21">
        <v>46041.83194444444</v>
      </c>
    </row>
    <row r="20">
      <c r="A20" s="28">
        <v>19.0</v>
      </c>
      <c r="B20" s="8" t="s">
        <v>732</v>
      </c>
      <c r="C20" s="28">
        <v>13.99</v>
      </c>
      <c r="D20" s="21">
        <v>46041.83194444444</v>
      </c>
    </row>
    <row r="21">
      <c r="A21" s="28">
        <v>20.0</v>
      </c>
      <c r="B21" s="8" t="s">
        <v>733</v>
      </c>
      <c r="C21" s="28">
        <v>13.49</v>
      </c>
      <c r="D21" s="21">
        <v>46042.919444444444</v>
      </c>
    </row>
    <row r="22">
      <c r="A22" s="28">
        <v>21.0</v>
      </c>
      <c r="B22" s="8" t="s">
        <v>734</v>
      </c>
      <c r="C22" s="28">
        <v>13.07</v>
      </c>
      <c r="D22" s="21">
        <v>46043.84444444445</v>
      </c>
    </row>
    <row r="23">
      <c r="A23" s="28">
        <v>22.0</v>
      </c>
      <c r="B23" s="8" t="s">
        <v>735</v>
      </c>
      <c r="C23" s="28">
        <v>14.2</v>
      </c>
      <c r="D23" s="21">
        <v>46043.895833333336</v>
      </c>
    </row>
    <row r="24">
      <c r="A24" s="28">
        <v>23.0</v>
      </c>
      <c r="B24" s="8" t="s">
        <v>736</v>
      </c>
      <c r="C24" s="28">
        <v>14.4</v>
      </c>
      <c r="D24" s="21">
        <v>46044.933333333334</v>
      </c>
    </row>
    <row r="25">
      <c r="A25" s="28">
        <v>24.0</v>
      </c>
      <c r="B25" s="8" t="s">
        <v>737</v>
      </c>
      <c r="C25" s="28">
        <v>14.6</v>
      </c>
      <c r="D25" s="21">
        <v>46046.82638888889</v>
      </c>
    </row>
    <row r="26">
      <c r="A26" s="28">
        <v>25.0</v>
      </c>
      <c r="B26" s="8" t="s">
        <v>738</v>
      </c>
      <c r="C26" s="28">
        <v>13.41</v>
      </c>
      <c r="D26" s="21">
        <v>46046.84722222222</v>
      </c>
    </row>
    <row r="27">
      <c r="A27" s="28">
        <v>26.0</v>
      </c>
      <c r="B27" s="8" t="s">
        <v>739</v>
      </c>
      <c r="C27" s="28">
        <v>13.41</v>
      </c>
      <c r="D27" s="21">
        <v>46047.720138888886</v>
      </c>
    </row>
    <row r="28">
      <c r="A28" s="28">
        <v>27.0</v>
      </c>
      <c r="B28" s="8" t="s">
        <v>740</v>
      </c>
      <c r="C28" s="28">
        <v>13.97</v>
      </c>
      <c r="D28" s="21">
        <v>46048.78680555556</v>
      </c>
    </row>
    <row r="29">
      <c r="A29" s="28">
        <v>28.0</v>
      </c>
      <c r="B29" s="8" t="s">
        <v>741</v>
      </c>
      <c r="C29" s="28">
        <v>14.03</v>
      </c>
      <c r="D29" s="21">
        <v>46048.825694444444</v>
      </c>
    </row>
    <row r="30">
      <c r="A30" s="28">
        <v>29.0</v>
      </c>
      <c r="B30" s="8" t="s">
        <v>742</v>
      </c>
      <c r="C30" s="28">
        <v>14.6</v>
      </c>
      <c r="D30" s="21">
        <v>46048.82916666667</v>
      </c>
    </row>
    <row r="31">
      <c r="A31" s="28">
        <v>30.0</v>
      </c>
      <c r="B31" s="8" t="s">
        <v>743</v>
      </c>
      <c r="C31" s="28">
        <v>13.42</v>
      </c>
      <c r="D31" s="21">
        <v>46049.80694444444</v>
      </c>
    </row>
    <row r="32">
      <c r="A32" s="28">
        <v>31.0</v>
      </c>
      <c r="B32" s="8" t="s">
        <v>744</v>
      </c>
      <c r="C32" s="28">
        <v>12.94</v>
      </c>
      <c r="D32" s="21">
        <v>46049.811111111114</v>
      </c>
    </row>
    <row r="33">
      <c r="A33" s="28">
        <v>32.0</v>
      </c>
      <c r="B33" s="8" t="s">
        <v>745</v>
      </c>
      <c r="C33" s="28">
        <v>14.8</v>
      </c>
      <c r="D33" s="21">
        <v>46049.978472222225</v>
      </c>
    </row>
    <row r="34">
      <c r="A34" s="28">
        <v>33.0</v>
      </c>
      <c r="B34" s="8" t="s">
        <v>746</v>
      </c>
      <c r="C34" s="28">
        <v>14.12</v>
      </c>
      <c r="D34" s="21">
        <v>46050.76875</v>
      </c>
    </row>
    <row r="35">
      <c r="A35" s="28">
        <v>34.0</v>
      </c>
      <c r="B35" s="8" t="s">
        <v>747</v>
      </c>
      <c r="C35" s="28">
        <v>13.34</v>
      </c>
      <c r="D35" s="21">
        <v>46050.78333333333</v>
      </c>
    </row>
    <row r="36">
      <c r="A36" s="28">
        <v>35.0</v>
      </c>
      <c r="B36" s="8" t="s">
        <v>748</v>
      </c>
      <c r="C36" s="28">
        <v>13.86</v>
      </c>
      <c r="D36" s="21">
        <v>46054.69930555556</v>
      </c>
    </row>
    <row r="37">
      <c r="A37" s="28">
        <v>36.0</v>
      </c>
      <c r="B37" s="8" t="s">
        <v>749</v>
      </c>
      <c r="C37" s="28">
        <v>13.07</v>
      </c>
      <c r="D37" s="21">
        <v>46054.788194444445</v>
      </c>
    </row>
    <row r="38">
      <c r="A38" s="28">
        <v>37.0</v>
      </c>
      <c r="B38" s="8" t="s">
        <v>750</v>
      </c>
      <c r="C38" s="28">
        <v>13.67</v>
      </c>
      <c r="D38" s="21">
        <v>46056.73125</v>
      </c>
    </row>
    <row r="39">
      <c r="A39" s="28">
        <v>38.0</v>
      </c>
      <c r="B39" s="8" t="s">
        <v>751</v>
      </c>
      <c r="C39" s="28">
        <v>13.41</v>
      </c>
      <c r="D39" s="21">
        <v>46056.73125</v>
      </c>
    </row>
    <row r="40">
      <c r="A40" s="28">
        <v>39.0</v>
      </c>
      <c r="B40" s="8" t="s">
        <v>752</v>
      </c>
      <c r="C40" s="28">
        <v>14.23</v>
      </c>
      <c r="D40" s="21">
        <v>46056.73263888889</v>
      </c>
    </row>
    <row r="41">
      <c r="A41" s="28">
        <v>40.0</v>
      </c>
      <c r="B41" s="8" t="s">
        <v>753</v>
      </c>
      <c r="C41" s="28">
        <v>12.64</v>
      </c>
      <c r="D41" s="21">
        <v>46058.93263888889</v>
      </c>
    </row>
    <row r="42">
      <c r="A42" s="28">
        <v>41.0</v>
      </c>
      <c r="B42" s="8" t="s">
        <v>754</v>
      </c>
      <c r="C42" s="28">
        <v>13.98</v>
      </c>
      <c r="D42" s="21">
        <v>46058.93402777778</v>
      </c>
    </row>
    <row r="43">
      <c r="A43" s="28">
        <v>42.0</v>
      </c>
      <c r="B43" s="8" t="s">
        <v>755</v>
      </c>
      <c r="C43" s="28">
        <v>12.69</v>
      </c>
      <c r="D43" s="21">
        <v>46058.959027777775</v>
      </c>
    </row>
    <row r="44">
      <c r="A44" s="28">
        <v>43.0</v>
      </c>
      <c r="B44" s="8" t="s">
        <v>756</v>
      </c>
      <c r="C44" s="28">
        <v>13.72</v>
      </c>
      <c r="D44" s="21">
        <v>46060.654861111114</v>
      </c>
    </row>
    <row r="45">
      <c r="A45" s="28">
        <v>44.0</v>
      </c>
      <c r="B45" s="8" t="s">
        <v>757</v>
      </c>
      <c r="C45" s="28">
        <v>13.04</v>
      </c>
      <c r="D45" s="21">
        <v>46061.85972222222</v>
      </c>
    </row>
    <row r="46">
      <c r="A46" s="28">
        <v>45.0</v>
      </c>
      <c r="B46" s="8" t="s">
        <v>758</v>
      </c>
      <c r="C46" s="28">
        <v>13.47</v>
      </c>
      <c r="D46" s="21">
        <v>46062.75763888889</v>
      </c>
    </row>
    <row r="47">
      <c r="A47" s="28">
        <v>46.0</v>
      </c>
      <c r="B47" s="8" t="s">
        <v>759</v>
      </c>
      <c r="C47" s="28">
        <v>14.73</v>
      </c>
      <c r="D47" s="21">
        <v>46062.76111111111</v>
      </c>
    </row>
    <row r="48">
      <c r="A48" s="28">
        <v>47.0</v>
      </c>
      <c r="B48" s="8" t="s">
        <v>760</v>
      </c>
      <c r="C48" s="28">
        <v>14.75</v>
      </c>
      <c r="D48" s="21">
        <v>46062.76666666667</v>
      </c>
    </row>
    <row r="49">
      <c r="A49" s="28">
        <v>48.0</v>
      </c>
      <c r="B49" s="8" t="s">
        <v>761</v>
      </c>
      <c r="C49" s="28">
        <v>13.63</v>
      </c>
      <c r="D49" s="21">
        <v>46062.9125</v>
      </c>
    </row>
    <row r="50">
      <c r="A50" s="28">
        <v>49.0</v>
      </c>
      <c r="B50" s="8" t="s">
        <v>762</v>
      </c>
      <c r="C50" s="28">
        <v>14.41</v>
      </c>
      <c r="D50" s="21">
        <v>46062.91527777778</v>
      </c>
    </row>
    <row r="51">
      <c r="A51" s="28">
        <v>50.0</v>
      </c>
      <c r="B51" s="8" t="s">
        <v>763</v>
      </c>
      <c r="C51" s="28">
        <v>12.92</v>
      </c>
      <c r="D51" s="21">
        <v>46062.944444444445</v>
      </c>
    </row>
    <row r="52">
      <c r="A52" s="28">
        <v>51.0</v>
      </c>
      <c r="B52" s="8" t="s">
        <v>764</v>
      </c>
      <c r="C52" s="28">
        <v>14.37</v>
      </c>
      <c r="D52" s="21">
        <v>46063.87430555555</v>
      </c>
    </row>
    <row r="53">
      <c r="A53" s="28">
        <v>52.0</v>
      </c>
      <c r="B53" s="8" t="s">
        <v>765</v>
      </c>
      <c r="C53" s="28">
        <v>13.36</v>
      </c>
      <c r="D53" s="21">
        <v>46064.69583333333</v>
      </c>
    </row>
    <row r="54">
      <c r="A54" s="28">
        <v>53.0</v>
      </c>
      <c r="B54" s="8" t="s">
        <v>766</v>
      </c>
      <c r="C54" s="28">
        <v>13.72</v>
      </c>
      <c r="D54" s="21">
        <v>46064.751388888886</v>
      </c>
    </row>
    <row r="55">
      <c r="A55" s="28">
        <v>54.0</v>
      </c>
      <c r="B55" s="8" t="s">
        <v>767</v>
      </c>
      <c r="C55" s="28">
        <v>13.73</v>
      </c>
      <c r="D55" s="21">
        <v>46065.72152777778</v>
      </c>
    </row>
    <row r="56">
      <c r="A56" s="28">
        <v>55.0</v>
      </c>
      <c r="B56" s="8" t="s">
        <v>768</v>
      </c>
      <c r="C56" s="28">
        <v>14.84</v>
      </c>
      <c r="D56" s="21">
        <v>46065.72222222222</v>
      </c>
    </row>
    <row r="57">
      <c r="A57" s="28">
        <v>56.0</v>
      </c>
      <c r="B57" s="8" t="s">
        <v>769</v>
      </c>
      <c r="C57" s="28">
        <v>13.82</v>
      </c>
      <c r="D57" s="21">
        <v>46065.74513888889</v>
      </c>
    </row>
    <row r="58">
      <c r="A58" s="28">
        <v>57.0</v>
      </c>
      <c r="B58" s="8" t="s">
        <v>770</v>
      </c>
      <c r="C58" s="28">
        <v>13.93</v>
      </c>
      <c r="D58" s="21">
        <v>46065.75069444445</v>
      </c>
    </row>
    <row r="59">
      <c r="A59" s="28">
        <v>58.0</v>
      </c>
      <c r="B59" s="8" t="s">
        <v>771</v>
      </c>
      <c r="C59" s="28">
        <v>13.81</v>
      </c>
      <c r="D59" s="21">
        <v>46068.777083333334</v>
      </c>
    </row>
    <row r="60">
      <c r="A60" s="28">
        <v>59.0</v>
      </c>
      <c r="B60" s="8" t="s">
        <v>772</v>
      </c>
      <c r="C60" s="28">
        <v>13.53</v>
      </c>
      <c r="D60" s="21">
        <v>46068.84722222222</v>
      </c>
    </row>
    <row r="61">
      <c r="A61" s="28">
        <v>60.0</v>
      </c>
      <c r="B61" s="8" t="s">
        <v>773</v>
      </c>
      <c r="C61" s="28">
        <v>13.55</v>
      </c>
      <c r="D61" s="21">
        <v>46069.9125</v>
      </c>
    </row>
    <row r="62">
      <c r="A62" s="28">
        <v>61.0</v>
      </c>
      <c r="B62" s="8" t="s">
        <v>774</v>
      </c>
      <c r="C62" s="28">
        <v>14.42</v>
      </c>
      <c r="D62" s="21">
        <v>46070.90347222222</v>
      </c>
    </row>
    <row r="63">
      <c r="A63" s="28">
        <v>62.0</v>
      </c>
      <c r="B63" s="8" t="s">
        <v>775</v>
      </c>
      <c r="C63" s="28">
        <v>14.14</v>
      </c>
      <c r="D63" s="21">
        <v>46071.6375</v>
      </c>
    </row>
    <row r="64">
      <c r="A64" s="28">
        <v>63.0</v>
      </c>
      <c r="B64" s="8" t="s">
        <v>776</v>
      </c>
      <c r="C64" s="28">
        <v>14.96</v>
      </c>
      <c r="D64" s="21">
        <v>46071.63958333333</v>
      </c>
    </row>
    <row r="65">
      <c r="A65" s="28">
        <v>64.0</v>
      </c>
      <c r="B65" s="8" t="s">
        <v>777</v>
      </c>
      <c r="C65" s="28">
        <v>13.73</v>
      </c>
      <c r="D65" s="21">
        <v>46071.65416666667</v>
      </c>
    </row>
    <row r="66">
      <c r="A66" s="28">
        <v>65.0</v>
      </c>
      <c r="B66" s="8" t="s">
        <v>778</v>
      </c>
      <c r="C66" s="28">
        <v>8.77</v>
      </c>
      <c r="D66" s="21">
        <v>46071.73402777778</v>
      </c>
    </row>
    <row r="67">
      <c r="A67" s="28">
        <v>66.0</v>
      </c>
      <c r="B67" s="8" t="s">
        <v>779</v>
      </c>
      <c r="C67" s="28">
        <v>13.62</v>
      </c>
      <c r="D67" s="21">
        <v>46071.73888888889</v>
      </c>
    </row>
    <row r="68">
      <c r="A68" s="28">
        <v>67.0</v>
      </c>
      <c r="B68" s="8" t="s">
        <v>780</v>
      </c>
      <c r="C68" s="28">
        <v>12.13</v>
      </c>
      <c r="D68" s="21">
        <v>46071.94097222222</v>
      </c>
    </row>
    <row r="69">
      <c r="A69" s="28">
        <v>68.0</v>
      </c>
      <c r="B69" s="8" t="s">
        <v>781</v>
      </c>
      <c r="C69" s="28">
        <v>13.59</v>
      </c>
      <c r="D69" s="21">
        <v>46072.771527777775</v>
      </c>
    </row>
    <row r="70">
      <c r="A70" s="28">
        <v>69.0</v>
      </c>
      <c r="B70" s="8" t="s">
        <v>782</v>
      </c>
      <c r="C70" s="28">
        <v>13.1</v>
      </c>
      <c r="D70" s="21">
        <v>46072.771527777775</v>
      </c>
    </row>
    <row r="71">
      <c r="A71" s="28">
        <v>70.0</v>
      </c>
      <c r="B71" s="8" t="s">
        <v>783</v>
      </c>
      <c r="C71" s="28">
        <v>12.67</v>
      </c>
      <c r="D71" s="21">
        <v>46073.729166666664</v>
      </c>
    </row>
    <row r="72">
      <c r="A72" s="28">
        <v>71.0</v>
      </c>
      <c r="B72" s="8" t="s">
        <v>784</v>
      </c>
      <c r="C72" s="28">
        <v>8.2</v>
      </c>
      <c r="D72" s="21">
        <v>46077.777083333334</v>
      </c>
    </row>
    <row r="73">
      <c r="A73" s="28">
        <v>72.0</v>
      </c>
      <c r="B73" s="8" t="s">
        <v>785</v>
      </c>
      <c r="C73" s="28">
        <v>10.47</v>
      </c>
      <c r="D73" s="21">
        <v>46112.91458333333</v>
      </c>
    </row>
    <row r="74">
      <c r="A74" s="28">
        <v>73.0</v>
      </c>
      <c r="B74" s="8" t="s">
        <v>514</v>
      </c>
      <c r="C74" s="28">
        <v>13.93</v>
      </c>
      <c r="D74" s="21">
        <v>46105.94861111111</v>
      </c>
    </row>
    <row r="75">
      <c r="A75" s="28">
        <v>74.0</v>
      </c>
      <c r="B75" s="8" t="s">
        <v>508</v>
      </c>
      <c r="C75" s="28">
        <v>12.85</v>
      </c>
      <c r="D75" s="21">
        <v>46108.970138888886</v>
      </c>
    </row>
    <row r="76">
      <c r="A76" s="28">
        <v>75.0</v>
      </c>
      <c r="B76" s="8" t="s">
        <v>575</v>
      </c>
      <c r="C76" s="28">
        <v>13.52</v>
      </c>
      <c r="D76" s="21">
        <v>46118.95208333333</v>
      </c>
    </row>
    <row r="77">
      <c r="A77" s="28">
        <v>76.0</v>
      </c>
      <c r="B77" s="8" t="s">
        <v>592</v>
      </c>
      <c r="C77" s="28">
        <v>12.79</v>
      </c>
      <c r="D77" s="21">
        <v>46118.95347222222</v>
      </c>
    </row>
    <row r="78">
      <c r="A78" s="28">
        <v>77.0</v>
      </c>
      <c r="B78" s="8" t="s">
        <v>532</v>
      </c>
      <c r="C78" s="28">
        <v>11.44</v>
      </c>
      <c r="D78" s="21">
        <v>46118.95972222222</v>
      </c>
    </row>
    <row r="79">
      <c r="A79" s="28">
        <v>78.0</v>
      </c>
      <c r="B79" s="8" t="s">
        <v>542</v>
      </c>
      <c r="C79" s="28">
        <v>13.85</v>
      </c>
      <c r="D79" s="21">
        <v>46123.92847222222</v>
      </c>
    </row>
    <row r="80">
      <c r="A80" s="28">
        <v>79.0</v>
      </c>
      <c r="B80" s="8" t="s">
        <v>486</v>
      </c>
      <c r="C80" s="28">
        <v>15.14</v>
      </c>
      <c r="D80" s="21">
        <v>46125.88055555556</v>
      </c>
    </row>
    <row r="81">
      <c r="A81" s="28">
        <v>80.0</v>
      </c>
      <c r="B81" s="8" t="s">
        <v>597</v>
      </c>
      <c r="C81" s="28">
        <v>12.09</v>
      </c>
      <c r="D81" s="21">
        <v>46125.893055555556</v>
      </c>
    </row>
    <row r="82">
      <c r="A82" s="28">
        <v>81.0</v>
      </c>
      <c r="B82" s="8" t="s">
        <v>586</v>
      </c>
      <c r="C82" s="28">
        <v>13.23</v>
      </c>
      <c r="D82" s="21">
        <v>46125.958333333336</v>
      </c>
    </row>
    <row r="83">
      <c r="A83" s="28">
        <v>82.0</v>
      </c>
      <c r="B83" s="8" t="s">
        <v>526</v>
      </c>
      <c r="C83" s="28">
        <v>13.05</v>
      </c>
      <c r="D83" s="21">
        <v>46125.96041666667</v>
      </c>
    </row>
    <row r="84">
      <c r="A84" s="28">
        <v>83.0</v>
      </c>
      <c r="B84" s="8" t="s">
        <v>564</v>
      </c>
      <c r="C84" s="28">
        <v>13.22</v>
      </c>
      <c r="D84" s="21">
        <v>46129.93402777778</v>
      </c>
    </row>
    <row r="85">
      <c r="A85" s="28">
        <v>84.0</v>
      </c>
      <c r="B85" s="8" t="s">
        <v>492</v>
      </c>
      <c r="C85" s="28">
        <v>14.65</v>
      </c>
      <c r="D85" s="21">
        <v>46129.94305555556</v>
      </c>
    </row>
    <row r="86">
      <c r="A86" s="28">
        <v>85.0</v>
      </c>
      <c r="B86" s="8" t="s">
        <v>569</v>
      </c>
      <c r="C86" s="28">
        <v>13.38</v>
      </c>
      <c r="D86" s="21">
        <v>46131.66805555556</v>
      </c>
    </row>
    <row r="87">
      <c r="A87" s="28">
        <v>86.0</v>
      </c>
      <c r="B87" s="8" t="s">
        <v>537</v>
      </c>
      <c r="C87" s="28">
        <v>12.77</v>
      </c>
      <c r="D87" s="21">
        <v>46131.71527777778</v>
      </c>
    </row>
    <row r="88">
      <c r="A88" s="28">
        <v>87.0</v>
      </c>
      <c r="B88" s="8" t="s">
        <v>554</v>
      </c>
      <c r="C88" s="28">
        <v>13.32</v>
      </c>
      <c r="D88" s="21">
        <v>46153.86319444444</v>
      </c>
    </row>
    <row r="89">
      <c r="A89" s="28">
        <v>88.0</v>
      </c>
      <c r="B89" s="8" t="s">
        <v>503</v>
      </c>
      <c r="C89" s="28">
        <v>14.9</v>
      </c>
      <c r="D89" s="21">
        <v>46153.87152777778</v>
      </c>
    </row>
    <row r="90">
      <c r="A90" s="28">
        <v>89.0</v>
      </c>
      <c r="B90" s="8" t="s">
        <v>520</v>
      </c>
      <c r="C90" s="28">
        <v>14.31</v>
      </c>
      <c r="D90" s="21">
        <v>46153.875</v>
      </c>
    </row>
    <row r="91">
      <c r="A91" s="28">
        <v>90.0</v>
      </c>
      <c r="B91" s="8" t="s">
        <v>548</v>
      </c>
      <c r="C91" s="28">
        <v>13.41</v>
      </c>
      <c r="D91" s="21">
        <v>46153.90694444445</v>
      </c>
    </row>
    <row r="92">
      <c r="A92" s="28">
        <v>91.0</v>
      </c>
      <c r="B92" s="8" t="s">
        <v>475</v>
      </c>
      <c r="C92" s="28">
        <v>14.96</v>
      </c>
      <c r="D92" s="21">
        <v>46153.910416666666</v>
      </c>
    </row>
    <row r="93">
      <c r="A93" s="28">
        <v>92.0</v>
      </c>
      <c r="B93" s="8" t="s">
        <v>558</v>
      </c>
      <c r="C93" s="28">
        <v>13.43</v>
      </c>
      <c r="D93" s="21">
        <v>46153.9125</v>
      </c>
    </row>
    <row r="94">
      <c r="A94" s="28">
        <v>93.0</v>
      </c>
      <c r="B94" s="8" t="s">
        <v>469</v>
      </c>
      <c r="C94" s="28">
        <v>14.4</v>
      </c>
      <c r="D94" s="21">
        <v>46153.91875</v>
      </c>
    </row>
    <row r="95">
      <c r="A95" s="28">
        <v>94.0</v>
      </c>
      <c r="B95" s="8" t="s">
        <v>581</v>
      </c>
      <c r="C95" s="28">
        <v>13.86</v>
      </c>
      <c r="D95" s="21">
        <v>46153.95208333333</v>
      </c>
    </row>
    <row r="96">
      <c r="A96" s="28">
        <v>95.0</v>
      </c>
      <c r="B96" s="8" t="s">
        <v>480</v>
      </c>
      <c r="C96" s="28">
        <v>14.08</v>
      </c>
      <c r="D96" s="21">
        <v>46153.95486111111</v>
      </c>
    </row>
    <row r="97">
      <c r="A97" s="28">
        <v>96.0</v>
      </c>
      <c r="B97" s="8" t="s">
        <v>497</v>
      </c>
      <c r="C97" s="28">
        <v>14.42</v>
      </c>
      <c r="D97" s="21">
        <v>46153.958333333336</v>
      </c>
    </row>
    <row r="98">
      <c r="A98" s="28">
        <v>97.0</v>
      </c>
      <c r="B98" s="8" t="s">
        <v>786</v>
      </c>
      <c r="C98" s="28">
        <v>13.07</v>
      </c>
      <c r="D98" s="21">
        <v>46135.96111111111</v>
      </c>
    </row>
    <row r="99">
      <c r="A99" s="28">
        <v>98.0</v>
      </c>
      <c r="B99" s="8" t="s">
        <v>787</v>
      </c>
      <c r="C99" s="28">
        <v>12.57</v>
      </c>
      <c r="D99" s="21">
        <v>46135.96111111111</v>
      </c>
    </row>
    <row r="100">
      <c r="A100" s="28">
        <v>99.0</v>
      </c>
      <c r="B100" s="8" t="s">
        <v>788</v>
      </c>
      <c r="C100" s="28">
        <v>13.56</v>
      </c>
      <c r="D100" s="21">
        <v>46135.96111111111</v>
      </c>
    </row>
    <row r="101">
      <c r="A101" s="28">
        <v>100.0</v>
      </c>
      <c r="B101" s="8" t="s">
        <v>789</v>
      </c>
      <c r="C101" s="28">
        <v>12.46</v>
      </c>
      <c r="D101" s="21">
        <v>46135.96111111111</v>
      </c>
    </row>
    <row r="102">
      <c r="A102" s="28">
        <v>101.0</v>
      </c>
      <c r="B102" s="8" t="s">
        <v>790</v>
      </c>
      <c r="C102" s="28">
        <v>11.77</v>
      </c>
      <c r="D102" s="21">
        <v>46135.96111111111</v>
      </c>
    </row>
  </sheetData>
  <drawing r:id="rId1"/>
</worksheet>
</file>